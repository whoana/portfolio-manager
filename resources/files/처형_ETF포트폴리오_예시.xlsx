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포트폴리오 구성" sheetId="1" state="visible" r:id="rId3"/>
    <sheet name="종목 분석" sheetId="2" state="visible" r:id="rId4"/>
    <sheet name="자산관리자 의견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<sst xmlns="http://schemas.openxmlformats.org/spreadsheetml/2006/main" count="141" uniqueCount="105">
  <si>
    <r>
      <rPr>
        <b val="true"/>
        <sz val="16"/>
        <color rgb="FF1B2A4A"/>
        <rFont val="Arial"/>
        <family val="0"/>
        <charset val="1"/>
      </rPr>
      <t xml:space="preserve">ETF </t>
    </r>
    <r>
      <rPr>
        <b val="true"/>
        <sz val="16"/>
        <color rgb="FF1B2A4A"/>
        <rFont val="Noto Sans CJK SC"/>
        <family val="2"/>
      </rPr>
      <t xml:space="preserve">포트폴리오 투자 참고 장표</t>
    </r>
  </si>
  <si>
    <r>
      <rPr>
        <sz val="9"/>
        <color rgb="FF888888"/>
        <rFont val="Noto Sans CJK SC"/>
        <family val="2"/>
      </rPr>
      <t xml:space="preserve">작성일</t>
    </r>
    <r>
      <rPr>
        <sz val="9"/>
        <color rgb="FF888888"/>
        <rFont val="Arial"/>
        <family val="0"/>
        <charset val="1"/>
      </rPr>
      <t xml:space="preserve">: 2026.02.20  |  </t>
    </r>
    <r>
      <rPr>
        <sz val="9"/>
        <color rgb="FF888888"/>
        <rFont val="Noto Sans CJK SC"/>
        <family val="2"/>
      </rPr>
      <t xml:space="preserve">대상</t>
    </r>
    <r>
      <rPr>
        <sz val="9"/>
        <color rgb="FF888888"/>
        <rFont val="Arial"/>
        <family val="0"/>
        <charset val="1"/>
      </rPr>
      <t xml:space="preserve">: </t>
    </r>
    <r>
      <rPr>
        <sz val="9"/>
        <color rgb="FF888888"/>
        <rFont val="Noto Sans CJK SC"/>
        <family val="2"/>
      </rPr>
      <t xml:space="preserve">만 </t>
    </r>
    <r>
      <rPr>
        <sz val="9"/>
        <color rgb="FF888888"/>
        <rFont val="Arial"/>
        <family val="0"/>
        <charset val="1"/>
      </rPr>
      <t xml:space="preserve">54</t>
    </r>
    <r>
      <rPr>
        <sz val="9"/>
        <color rgb="FF888888"/>
        <rFont val="Noto Sans CJK SC"/>
        <family val="2"/>
      </rPr>
      <t xml:space="preserve">세 은퇴 준비 투자자  </t>
    </r>
    <r>
      <rPr>
        <sz val="9"/>
        <color rgb="FF888888"/>
        <rFont val="Arial"/>
        <family val="0"/>
        <charset val="1"/>
      </rPr>
      <t xml:space="preserve">|  6</t>
    </r>
    <r>
      <rPr>
        <sz val="9"/>
        <color rgb="FF888888"/>
        <rFont val="Noto Sans CJK SC"/>
        <family val="2"/>
      </rPr>
      <t xml:space="preserve">종목 구성</t>
    </r>
  </si>
  <si>
    <r>
      <rPr>
        <b val="true"/>
        <sz val="12"/>
        <color rgb="FF1B2A4A"/>
        <rFont val="Noto Sans CJK SC"/>
        <family val="2"/>
      </rPr>
      <t xml:space="preserve">▣ 투자 원칙 </t>
    </r>
    <r>
      <rPr>
        <b val="true"/>
        <sz val="12"/>
        <color rgb="FF1B2A4A"/>
        <rFont val="Arial"/>
        <family val="0"/>
        <charset val="1"/>
      </rPr>
      <t xml:space="preserve">: </t>
    </r>
    <r>
      <rPr>
        <b val="true"/>
        <sz val="12"/>
        <color rgb="FF1B2A4A"/>
        <rFont val="Noto Sans CJK SC"/>
        <family val="2"/>
      </rPr>
      <t xml:space="preserve">안정적 현금흐름 </t>
    </r>
    <r>
      <rPr>
        <b val="true"/>
        <sz val="12"/>
        <color rgb="FF1B2A4A"/>
        <rFont val="Arial"/>
        <family val="0"/>
        <charset val="1"/>
      </rPr>
      <t xml:space="preserve">+ </t>
    </r>
    <r>
      <rPr>
        <b val="true"/>
        <sz val="12"/>
        <color rgb="FF1B2A4A"/>
        <rFont val="Noto Sans CJK SC"/>
        <family val="2"/>
      </rPr>
      <t xml:space="preserve">장기 성장 </t>
    </r>
    <r>
      <rPr>
        <b val="true"/>
        <sz val="12"/>
        <color rgb="FF1B2A4A"/>
        <rFont val="Arial"/>
        <family val="0"/>
        <charset val="1"/>
      </rPr>
      <t xml:space="preserve">+ </t>
    </r>
    <r>
      <rPr>
        <b val="true"/>
        <sz val="12"/>
        <color rgb="FF1B2A4A"/>
        <rFont val="Noto Sans CJK SC"/>
        <family val="2"/>
      </rPr>
      <t xml:space="preserve">위기 대비</t>
    </r>
  </si>
  <si>
    <r>
      <rPr>
        <sz val="10"/>
        <color rgb="FF333333"/>
        <rFont val="Noto Sans CJK SC"/>
        <family val="2"/>
      </rPr>
      <t xml:space="preserve">① 매월 배당이 들어오는 </t>
    </r>
    <r>
      <rPr>
        <sz val="10"/>
        <color rgb="FF333333"/>
        <rFont val="Arial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월급 구조</t>
    </r>
    <r>
      <rPr>
        <sz val="10"/>
        <color rgb="FF333333"/>
        <rFont val="Arial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를 만든다  →  배당 </t>
    </r>
    <r>
      <rPr>
        <sz val="10"/>
        <color rgb="FF333333"/>
        <rFont val="Arial"/>
        <family val="0"/>
        <charset val="1"/>
      </rPr>
      <t xml:space="preserve">ETF 45% + </t>
    </r>
    <r>
      <rPr>
        <sz val="10"/>
        <color rgb="FF333333"/>
        <rFont val="Noto Sans CJK SC"/>
        <family val="2"/>
      </rPr>
      <t xml:space="preserve">고배당 </t>
    </r>
    <r>
      <rPr>
        <sz val="10"/>
        <color rgb="FF333333"/>
        <rFont val="Arial"/>
        <family val="0"/>
        <charset val="1"/>
      </rPr>
      <t xml:space="preserve">ETF 15%</t>
    </r>
  </si>
  <si>
    <r>
      <rPr>
        <sz val="10"/>
        <color rgb="FF333333"/>
        <rFont val="Noto Sans CJK SC"/>
        <family val="2"/>
      </rPr>
      <t xml:space="preserve">② 자산 자체의 성장도 놓치지 않는다  →  </t>
    </r>
    <r>
      <rPr>
        <sz val="10"/>
        <color rgb="FF333333"/>
        <rFont val="Arial"/>
        <family val="0"/>
        <charset val="1"/>
      </rPr>
      <t xml:space="preserve">S&amp;P500 12% + </t>
    </r>
    <r>
      <rPr>
        <sz val="10"/>
        <color rgb="FF333333"/>
        <rFont val="Noto Sans CJK SC"/>
        <family val="2"/>
      </rPr>
      <t xml:space="preserve">빅테크 </t>
    </r>
    <r>
      <rPr>
        <sz val="10"/>
        <color rgb="FF333333"/>
        <rFont val="Arial"/>
        <family val="0"/>
        <charset val="1"/>
      </rPr>
      <t xml:space="preserve">8%</t>
    </r>
  </si>
  <si>
    <r>
      <rPr>
        <sz val="10"/>
        <color rgb="FF333333"/>
        <rFont val="Noto Sans CJK SC"/>
        <family val="2"/>
      </rPr>
      <t xml:space="preserve">③ 시장 급락에 대비한 </t>
    </r>
    <r>
      <rPr>
        <sz val="10"/>
        <color rgb="FF333333"/>
        <rFont val="Arial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마른 화약</t>
    </r>
    <r>
      <rPr>
        <sz val="10"/>
        <color rgb="FF333333"/>
        <rFont val="Arial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을 보유한다  →  </t>
    </r>
    <r>
      <rPr>
        <sz val="10"/>
        <color rgb="FF333333"/>
        <rFont val="Arial"/>
        <family val="0"/>
        <charset val="1"/>
      </rPr>
      <t xml:space="preserve">CD</t>
    </r>
    <r>
      <rPr>
        <sz val="10"/>
        <color rgb="FF333333"/>
        <rFont val="Noto Sans CJK SC"/>
        <family val="2"/>
      </rPr>
      <t xml:space="preserve">금리 </t>
    </r>
    <r>
      <rPr>
        <sz val="10"/>
        <color rgb="FF333333"/>
        <rFont val="Arial"/>
        <family val="0"/>
        <charset val="1"/>
      </rPr>
      <t xml:space="preserve">ETF 20%</t>
    </r>
  </si>
  <si>
    <t xml:space="preserve">▣ 자산배분 전략</t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</si>
  <si>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</si>
  <si>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ETF </t>
    </r>
    <r>
      <rPr>
        <b val="true"/>
        <sz val="10"/>
        <color rgb="FFFFFFFF"/>
        <rFont val="Noto Sans CJK SC"/>
        <family val="2"/>
      </rPr>
      <t xml:space="preserve">종목명</t>
    </r>
  </si>
  <si>
    <t xml:space="preserve">종목코드</t>
  </si>
  <si>
    <t xml:space="preserve">목표비중</t>
  </si>
  <si>
    <t xml:space="preserve">연배당률</t>
  </si>
  <si>
    <t xml:space="preserve">전략 특성</t>
  </si>
  <si>
    <r>
      <rPr>
        <b val="true"/>
        <sz val="10"/>
        <rFont val="Noto Sans CJK SC"/>
        <family val="2"/>
      </rPr>
      <t xml:space="preserve">배당 </t>
    </r>
    <r>
      <rPr>
        <b val="true"/>
        <sz val="10"/>
        <rFont val="Arial"/>
        <family val="0"/>
        <charset val="1"/>
      </rPr>
      <t xml:space="preserve">(45%)</t>
    </r>
  </si>
  <si>
    <r>
      <rPr>
        <sz val="10"/>
        <rFont val="Arial"/>
        <family val="0"/>
        <charset val="1"/>
      </rPr>
      <t xml:space="preserve">TIGER </t>
    </r>
    <r>
      <rPr>
        <sz val="10"/>
        <rFont val="Noto Sans CJK SC"/>
        <family val="2"/>
      </rPr>
      <t xml:space="preserve">미국배당다우존스</t>
    </r>
  </si>
  <si>
    <t xml:space="preserve">458730</t>
  </si>
  <si>
    <t xml:space="preserve">30%</t>
  </si>
  <si>
    <t xml:space="preserve">3.5%</t>
  </si>
  <si>
    <r>
      <rPr>
        <sz val="9"/>
        <color rgb="FF666666"/>
        <rFont val="Arial"/>
        <family val="0"/>
        <charset val="1"/>
      </rPr>
      <t xml:space="preserve">SCHD </t>
    </r>
    <r>
      <rPr>
        <sz val="9"/>
        <color rgb="FF666666"/>
        <rFont val="Noto Sans CJK SC"/>
        <family val="2"/>
      </rPr>
      <t xml:space="preserve">동일지수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미국 우량 배당성장주 </t>
    </r>
    <r>
      <rPr>
        <sz val="9"/>
        <color rgb="FF666666"/>
        <rFont val="Arial"/>
        <family val="0"/>
        <charset val="1"/>
      </rPr>
      <t xml:space="preserve">100</t>
    </r>
    <r>
      <rPr>
        <sz val="9"/>
        <color rgb="FF666666"/>
        <rFont val="Noto Sans CJK SC"/>
        <family val="2"/>
      </rPr>
      <t xml:space="preserve">종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월배당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포트 핵심</t>
    </r>
  </si>
  <si>
    <r>
      <rPr>
        <sz val="10"/>
        <rFont val="Arial"/>
        <family val="0"/>
        <charset val="1"/>
      </rPr>
      <t xml:space="preserve">TIGER </t>
    </r>
    <r>
      <rPr>
        <sz val="10"/>
        <rFont val="Noto Sans CJK SC"/>
        <family val="2"/>
      </rPr>
      <t xml:space="preserve">코리아배당다우존스</t>
    </r>
  </si>
  <si>
    <t xml:space="preserve">0052D0</t>
  </si>
  <si>
    <t xml:space="preserve">15%</t>
  </si>
  <si>
    <t xml:space="preserve">4.5%</t>
  </si>
  <si>
    <r>
      <rPr>
        <sz val="9"/>
        <color rgb="FF666666"/>
        <rFont val="Arial"/>
        <family val="0"/>
        <charset val="1"/>
      </rPr>
      <t xml:space="preserve">K-SCHD · </t>
    </r>
    <r>
      <rPr>
        <sz val="9"/>
        <color rgb="FF666666"/>
        <rFont val="Noto Sans CJK SC"/>
        <family val="2"/>
      </rPr>
      <t xml:space="preserve">국내 배당성장주 </t>
    </r>
    <r>
      <rPr>
        <sz val="9"/>
        <color rgb="FF666666"/>
        <rFont val="Arial"/>
        <family val="0"/>
        <charset val="1"/>
      </rPr>
      <t xml:space="preserve">30</t>
    </r>
    <r>
      <rPr>
        <sz val="9"/>
        <color rgb="FF666666"/>
        <rFont val="Noto Sans CJK SC"/>
        <family val="2"/>
      </rPr>
      <t xml:space="preserve">종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월배당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환율분산 효과</t>
    </r>
  </si>
  <si>
    <r>
      <rPr>
        <b val="true"/>
        <sz val="10"/>
        <rFont val="Noto Sans CJK SC"/>
        <family val="2"/>
      </rPr>
      <t xml:space="preserve">고배당 </t>
    </r>
    <r>
      <rPr>
        <b val="true"/>
        <sz val="10"/>
        <rFont val="Arial"/>
        <family val="0"/>
        <charset val="1"/>
      </rPr>
      <t xml:space="preserve">(15%)</t>
    </r>
  </si>
  <si>
    <r>
      <rPr>
        <sz val="10"/>
        <rFont val="Arial"/>
        <family val="0"/>
        <charset val="1"/>
      </rPr>
      <t xml:space="preserve">KODEX </t>
    </r>
    <r>
      <rPr>
        <sz val="10"/>
        <rFont val="Noto Sans CJK SC"/>
        <family val="2"/>
      </rPr>
      <t xml:space="preserve">미국배당커버드콜액티브</t>
    </r>
  </si>
  <si>
    <t xml:space="preserve">441640</t>
  </si>
  <si>
    <t xml:space="preserve">8.0%</t>
  </si>
  <si>
    <r>
      <rPr>
        <sz val="9"/>
        <color rgb="FF666666"/>
        <rFont val="Arial"/>
        <family val="0"/>
        <charset val="1"/>
      </rPr>
      <t xml:space="preserve">DIVO</t>
    </r>
    <r>
      <rPr>
        <sz val="9"/>
        <color rgb="FF666666"/>
        <rFont val="Noto Sans CJK SC"/>
        <family val="2"/>
      </rPr>
      <t xml:space="preserve">형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미국 배당주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액티브 커버드콜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월배당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현금흐름 보강</t>
    </r>
  </si>
  <si>
    <r>
      <rPr>
        <b val="true"/>
        <sz val="10"/>
        <rFont val="Noto Sans CJK SC"/>
        <family val="2"/>
      </rPr>
      <t xml:space="preserve">성장 </t>
    </r>
    <r>
      <rPr>
        <b val="true"/>
        <sz val="10"/>
        <rFont val="Arial"/>
        <family val="0"/>
        <charset val="1"/>
      </rPr>
      <t xml:space="preserve">(20%)</t>
    </r>
  </si>
  <si>
    <r>
      <rPr>
        <sz val="10"/>
        <rFont val="Arial"/>
        <family val="0"/>
        <charset val="1"/>
      </rPr>
      <t xml:space="preserve">KODEX 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S&amp;P500</t>
    </r>
  </si>
  <si>
    <t xml:space="preserve">379800</t>
  </si>
  <si>
    <t xml:space="preserve">12%</t>
  </si>
  <si>
    <t xml:space="preserve">1.2%</t>
  </si>
  <si>
    <r>
      <rPr>
        <sz val="9"/>
        <color rgb="FF666666"/>
        <rFont val="Noto Sans CJK SC"/>
        <family val="2"/>
      </rPr>
      <t xml:space="preserve">미국 </t>
    </r>
    <r>
      <rPr>
        <sz val="9"/>
        <color rgb="FF666666"/>
        <rFont val="Arial"/>
        <family val="0"/>
        <charset val="1"/>
      </rPr>
      <t xml:space="preserve">500</t>
    </r>
    <r>
      <rPr>
        <sz val="9"/>
        <color rgb="FF666666"/>
        <rFont val="Noto Sans CJK SC"/>
        <family val="2"/>
      </rPr>
      <t xml:space="preserve">대 기업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장기 연평균 </t>
    </r>
    <r>
      <rPr>
        <sz val="9"/>
        <color rgb="FF666666"/>
        <rFont val="Arial"/>
        <family val="0"/>
        <charset val="1"/>
      </rPr>
      <t xml:space="preserve">10.8% </t>
    </r>
    <r>
      <rPr>
        <sz val="9"/>
        <color rgb="FF666666"/>
        <rFont val="Noto Sans CJK SC"/>
        <family val="2"/>
      </rPr>
      <t xml:space="preserve">수익률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자본성장 엔진</t>
    </r>
  </si>
  <si>
    <r>
      <rPr>
        <sz val="10"/>
        <rFont val="Arial"/>
        <family val="0"/>
        <charset val="1"/>
      </rPr>
      <t xml:space="preserve">TIGER </t>
    </r>
    <r>
      <rPr>
        <sz val="10"/>
        <rFont val="Noto Sans CJK SC"/>
        <family val="2"/>
      </rPr>
      <t xml:space="preserve">미국테크</t>
    </r>
    <r>
      <rPr>
        <sz val="10"/>
        <rFont val="Arial"/>
        <family val="0"/>
        <charset val="1"/>
      </rPr>
      <t xml:space="preserve">TOP10 INDXX</t>
    </r>
  </si>
  <si>
    <t xml:space="preserve">381170</t>
  </si>
  <si>
    <t xml:space="preserve">8%</t>
  </si>
  <si>
    <t xml:space="preserve">0.3%</t>
  </si>
  <si>
    <r>
      <rPr>
        <sz val="9"/>
        <color rgb="FF666666"/>
        <rFont val="Noto Sans CJK SC"/>
        <family val="2"/>
      </rPr>
      <t xml:space="preserve">애플</t>
    </r>
    <r>
      <rPr>
        <sz val="9"/>
        <color rgb="FF666666"/>
        <rFont val="Arial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엔비디아</t>
    </r>
    <r>
      <rPr>
        <sz val="9"/>
        <color rgb="FF666666"/>
        <rFont val="Arial"/>
        <family val="0"/>
        <charset val="1"/>
      </rPr>
      <t xml:space="preserve">·MS </t>
    </r>
    <r>
      <rPr>
        <sz val="9"/>
        <color rgb="FF666666"/>
        <rFont val="Noto Sans CJK SC"/>
        <family val="2"/>
      </rPr>
      <t xml:space="preserve">등 빅테크 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종 집중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고성장 추구</t>
    </r>
  </si>
  <si>
    <r>
      <rPr>
        <b val="true"/>
        <sz val="10"/>
        <rFont val="Noto Sans CJK SC"/>
        <family val="2"/>
      </rPr>
      <t xml:space="preserve">안전판 </t>
    </r>
    <r>
      <rPr>
        <b val="true"/>
        <sz val="10"/>
        <rFont val="Arial"/>
        <family val="0"/>
        <charset val="1"/>
      </rPr>
      <t xml:space="preserve">(20%)</t>
    </r>
  </si>
  <si>
    <r>
      <rPr>
        <sz val="10"/>
        <rFont val="Arial"/>
        <family val="0"/>
        <charset val="1"/>
      </rPr>
      <t xml:space="preserve">KODEX CD</t>
    </r>
    <r>
      <rPr>
        <sz val="10"/>
        <rFont val="Noto Sans CJK SC"/>
        <family val="2"/>
      </rPr>
      <t xml:space="preserve">금리액티브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)</t>
    </r>
  </si>
  <si>
    <t xml:space="preserve">459580</t>
  </si>
  <si>
    <t xml:space="preserve">20%</t>
  </si>
  <si>
    <r>
      <rPr>
        <sz val="9"/>
        <color rgb="FF666666"/>
        <rFont val="Arial"/>
        <family val="0"/>
        <charset val="1"/>
      </rPr>
      <t xml:space="preserve">CD</t>
    </r>
    <r>
      <rPr>
        <sz val="9"/>
        <color rgb="FF666666"/>
        <rFont val="Noto Sans CJK SC"/>
        <family val="2"/>
      </rPr>
      <t xml:space="preserve">금리 추종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원금보존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급락 시 추가매수용 전략 대기자금</t>
    </r>
  </si>
  <si>
    <t xml:space="preserve">▣ 투자 금액별 포트폴리오</t>
  </si>
  <si>
    <t xml:space="preserve">투자금액 ①</t>
  </si>
  <si>
    <t xml:space="preserve">← 금액을 변경하면 아래 표가 자동 재계산됩니다</t>
  </si>
  <si>
    <r>
      <rPr>
        <b val="true"/>
        <sz val="12"/>
        <color rgb="FF1B2A4A"/>
        <rFont val="Noto Sans CJK SC"/>
        <family val="2"/>
      </rPr>
      <t xml:space="preserve">▣ 포트폴리오 ① 구성표 </t>
    </r>
    <r>
      <rPr>
        <b val="true"/>
        <sz val="12"/>
        <color rgb="FF1B2A4A"/>
        <rFont val="Arial"/>
        <family val="0"/>
        <charset val="1"/>
      </rPr>
      <t xml:space="preserve">(2026.02.20 </t>
    </r>
    <r>
      <rPr>
        <b val="true"/>
        <sz val="12"/>
        <color rgb="FF1B2A4A"/>
        <rFont val="Noto Sans CJK SC"/>
        <family val="2"/>
      </rPr>
      <t xml:space="preserve">기준</t>
    </r>
    <r>
      <rPr>
        <b val="true"/>
        <sz val="12"/>
        <color rgb="FF1B2A4A"/>
        <rFont val="Arial"/>
        <family val="0"/>
        <charset val="1"/>
      </rPr>
      <t xml:space="preserve">)</t>
    </r>
  </si>
  <si>
    <t xml:space="preserve">배당률</t>
  </si>
  <si>
    <r>
      <rPr>
        <b val="true"/>
        <sz val="10"/>
        <color rgb="FFFFFFFF"/>
        <rFont val="Noto Sans CJK SC"/>
        <family val="2"/>
      </rPr>
      <t xml:space="preserve">현재가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</si>
  <si>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비중</t>
  </si>
  <si>
    <r>
      <rPr>
        <b val="true"/>
        <sz val="10"/>
        <color rgb="FFFFFFFF"/>
        <rFont val="Noto Sans CJK SC"/>
        <family val="2"/>
      </rPr>
      <t xml:space="preserve">투자금액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</si>
  <si>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매수수량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</si>
  <si>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실투자금액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</si>
  <si>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월배당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</si>
  <si>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연배당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</si>
  <si>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배당</t>
  </si>
  <si>
    <t xml:space="preserve">고배당</t>
  </si>
  <si>
    <t xml:space="preserve">성장</t>
  </si>
  <si>
    <t xml:space="preserve">안전판</t>
  </si>
  <si>
    <t xml:space="preserve">합 계</t>
  </si>
  <si>
    <t xml:space="preserve">▶ 가중평균 배당수익률</t>
  </si>
  <si>
    <t xml:space="preserve">투자금액 ②</t>
  </si>
  <si>
    <r>
      <rPr>
        <b val="true"/>
        <sz val="12"/>
        <color rgb="FF1B2A4A"/>
        <rFont val="Noto Sans CJK SC"/>
        <family val="2"/>
      </rPr>
      <t xml:space="preserve">▣ 포트폴리오 ② 구성표 </t>
    </r>
    <r>
      <rPr>
        <b val="true"/>
        <sz val="12"/>
        <color rgb="FF1B2A4A"/>
        <rFont val="Arial"/>
        <family val="0"/>
        <charset val="1"/>
      </rPr>
      <t xml:space="preserve">(2026.02.20 </t>
    </r>
    <r>
      <rPr>
        <b val="true"/>
        <sz val="12"/>
        <color rgb="FF1B2A4A"/>
        <rFont val="Noto Sans CJK SC"/>
        <family val="2"/>
      </rPr>
      <t xml:space="preserve">기준</t>
    </r>
    <r>
      <rPr>
        <b val="true"/>
        <sz val="12"/>
        <color rgb="FF1B2A4A"/>
        <rFont val="Arial"/>
        <family val="0"/>
        <charset val="1"/>
      </rPr>
      <t xml:space="preserve">)</t>
    </r>
  </si>
  <si>
    <t xml:space="preserve">▣ 종목별 선정 이유 및 분석</t>
  </si>
  <si>
    <r>
      <rPr>
        <sz val="9"/>
        <color rgb="FF888888"/>
        <rFont val="Noto Sans CJK SC"/>
        <family val="2"/>
      </rPr>
      <t xml:space="preserve">각 </t>
    </r>
    <r>
      <rPr>
        <sz val="9"/>
        <color rgb="FF888888"/>
        <rFont val="Arial"/>
        <family val="0"/>
        <charset val="1"/>
      </rPr>
      <t xml:space="preserve">ETF</t>
    </r>
    <r>
      <rPr>
        <sz val="9"/>
        <color rgb="FF888888"/>
        <rFont val="Noto Sans CJK SC"/>
        <family val="2"/>
      </rPr>
      <t xml:space="preserve">를 왜 선택했는지</t>
    </r>
    <r>
      <rPr>
        <sz val="9"/>
        <color rgb="FF888888"/>
        <rFont val="Arial"/>
        <family val="0"/>
        <charset val="1"/>
      </rPr>
      <t xml:space="preserve">, </t>
    </r>
    <r>
      <rPr>
        <sz val="9"/>
        <color rgb="FF888888"/>
        <rFont val="Noto Sans CJK SC"/>
        <family val="2"/>
      </rPr>
      <t xml:space="preserve">어떤 역할을 하는지 쉽게 풀어서 설명합니다</t>
    </r>
    <r>
      <rPr>
        <sz val="9"/>
        <color rgb="FF888888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</si>
  <si>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종목명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비중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</si>
  <si>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핵심 역할</t>
  </si>
  <si>
    <t xml:space="preserve">선정 근거 및 비유적 설명</t>
  </si>
  <si>
    <r>
      <rPr>
        <b val="true"/>
        <sz val="10"/>
        <color rgb="FF1B2A4A"/>
        <rFont val="Arial"/>
        <family val="0"/>
        <charset val="1"/>
      </rPr>
      <t xml:space="preserve">TIGER </t>
    </r>
    <r>
      <rPr>
        <b val="true"/>
        <sz val="10"/>
        <color rgb="FF1B2A4A"/>
        <rFont val="Noto Sans CJK SC"/>
        <family val="2"/>
      </rPr>
      <t xml:space="preserve">미국배당다우존스
</t>
    </r>
    <r>
      <rPr>
        <b val="true"/>
        <sz val="10"/>
        <color rgb="FF1B2A4A"/>
        <rFont val="Arial"/>
        <family val="0"/>
        <charset val="1"/>
      </rPr>
      <t xml:space="preserve">(30%)</t>
    </r>
  </si>
  <si>
    <t xml:space="preserve">포트폴리오의 기둥</t>
  </si>
  <si>
    <r>
      <rPr>
        <sz val="9"/>
        <color rgb="FF333333"/>
        <rFont val="Arial"/>
        <family val="0"/>
        <charset val="1"/>
      </rPr>
      <t xml:space="preserve">SCHD</t>
    </r>
    <r>
      <rPr>
        <sz val="9"/>
        <color rgb="FF333333"/>
        <rFont val="Noto Sans CJK SC"/>
        <family val="2"/>
      </rPr>
      <t xml:space="preserve">와 동일한 </t>
    </r>
    <r>
      <rPr>
        <sz val="9"/>
        <color rgb="FF333333"/>
        <rFont val="Arial"/>
        <family val="0"/>
        <charset val="1"/>
      </rPr>
      <t xml:space="preserve">Dow Jones U.S. Dividend 100 </t>
    </r>
    <r>
      <rPr>
        <sz val="9"/>
        <color rgb="FF333333"/>
        <rFont val="Noto Sans CJK SC"/>
        <family val="2"/>
      </rPr>
      <t xml:space="preserve">지수를 추종합니다</t>
    </r>
    <r>
      <rPr>
        <sz val="9"/>
        <color rgb="FF333333"/>
        <rFont val="Arial"/>
        <family val="0"/>
        <charset val="1"/>
      </rPr>
      <t xml:space="preserve">.
10</t>
    </r>
    <r>
      <rPr>
        <sz val="9"/>
        <color rgb="FF333333"/>
        <rFont val="Noto Sans CJK SC"/>
        <family val="2"/>
      </rPr>
      <t xml:space="preserve">년 이상 연속 배당</t>
    </r>
    <r>
      <rPr>
        <sz val="9"/>
        <color rgb="FF333333"/>
        <rFont val="Arial"/>
        <family val="0"/>
        <charset val="1"/>
      </rPr>
      <t xml:space="preserve">, 13</t>
    </r>
    <r>
      <rPr>
        <sz val="9"/>
        <color rgb="FF333333"/>
        <rFont val="Noto Sans CJK SC"/>
        <family val="2"/>
      </rPr>
      <t xml:space="preserve">년 연속 배당 성장 실적의 미국 우량기업 </t>
    </r>
    <r>
      <rPr>
        <sz val="9"/>
        <color rgb="FF333333"/>
        <rFont val="Arial"/>
        <family val="0"/>
        <charset val="1"/>
      </rPr>
      <t xml:space="preserve">100</t>
    </r>
    <r>
      <rPr>
        <sz val="9"/>
        <color rgb="FF333333"/>
        <rFont val="Noto Sans CJK SC"/>
        <family val="2"/>
      </rPr>
      <t xml:space="preserve">곳에 투자해요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매년 월세가 올라가는 강남 빌딩</t>
    </r>
    <r>
      <rPr>
        <sz val="9"/>
        <color rgb="FF333333"/>
        <rFont val="Arial"/>
        <family val="0"/>
        <charset val="1"/>
      </rPr>
      <t xml:space="preserve">'
</t>
    </r>
    <r>
      <rPr>
        <sz val="9"/>
        <color rgb="FF333333"/>
        <rFont val="Noto Sans CJK SC"/>
        <family val="2"/>
      </rPr>
      <t xml:space="preserve">건물값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주가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도 오르고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월세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배당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도 매년 올라가는 꿈의 자산입니다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연 </t>
    </r>
    <r>
      <rPr>
        <sz val="9"/>
        <color rgb="FF333333"/>
        <rFont val="Arial"/>
        <family val="0"/>
        <charset val="1"/>
      </rPr>
      <t xml:space="preserve">3.5% </t>
    </r>
    <r>
      <rPr>
        <sz val="9"/>
        <color rgb="FF333333"/>
        <rFont val="Noto Sans CJK SC"/>
        <family val="2"/>
      </rPr>
      <t xml:space="preserve">배당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연 </t>
    </r>
    <r>
      <rPr>
        <sz val="9"/>
        <color rgb="FF333333"/>
        <rFont val="Arial"/>
        <family val="0"/>
        <charset val="1"/>
      </rPr>
      <t xml:space="preserve">7~8% </t>
    </r>
    <r>
      <rPr>
        <sz val="9"/>
        <color rgb="FF333333"/>
        <rFont val="Noto Sans CJK SC"/>
        <family val="2"/>
      </rPr>
      <t xml:space="preserve">자본성장을 동시에 기대할 수 있어요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</si>
  <si>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TIGER </t>
    </r>
    <r>
      <rPr>
        <b val="true"/>
        <sz val="10"/>
        <color rgb="FF1B2A4A"/>
        <rFont val="Noto Sans CJK SC"/>
        <family val="2"/>
      </rPr>
      <t xml:space="preserve">코리아배당다우존스
</t>
    </r>
    <r>
      <rPr>
        <b val="true"/>
        <sz val="10"/>
        <color rgb="FF1B2A4A"/>
        <rFont val="Arial"/>
        <family val="0"/>
        <charset val="1"/>
      </rPr>
      <t xml:space="preserve">(15%)</t>
    </r>
  </si>
  <si>
    <r>
      <rPr>
        <b val="true"/>
        <sz val="10"/>
        <color rgb="FF4472C4"/>
        <rFont val="Noto Sans CJK SC"/>
        <family val="2"/>
      </rPr>
      <t xml:space="preserve">원화 배당 </t>
    </r>
    <r>
      <rPr>
        <b val="true"/>
        <sz val="10"/>
        <color rgb="FF4472C4"/>
        <rFont val="Arial"/>
        <family val="0"/>
        <charset val="1"/>
      </rPr>
      <t xml:space="preserve">+ </t>
    </r>
    <r>
      <rPr>
        <b val="true"/>
        <sz val="10"/>
        <color rgb="FF4472C4"/>
        <rFont val="Noto Sans CJK SC"/>
        <family val="2"/>
      </rPr>
      <t xml:space="preserve">환율 분산</t>
    </r>
  </si>
  <si>
    <r>
      <rPr>
        <sz val="9"/>
        <color rgb="FF333333"/>
        <rFont val="Noto Sans CJK SC"/>
        <family val="2"/>
      </rPr>
      <t xml:space="preserve">한국판 </t>
    </r>
    <r>
      <rPr>
        <sz val="9"/>
        <color rgb="FF333333"/>
        <rFont val="Arial"/>
        <family val="0"/>
        <charset val="1"/>
      </rPr>
      <t xml:space="preserve">SCHD. </t>
    </r>
    <r>
      <rPr>
        <sz val="9"/>
        <color rgb="FF333333"/>
        <rFont val="Noto Sans CJK SC"/>
        <family val="2"/>
      </rPr>
      <t xml:space="preserve">국내 우량 배당성장주 </t>
    </r>
    <r>
      <rPr>
        <sz val="9"/>
        <color rgb="FF333333"/>
        <rFont val="Arial"/>
        <family val="0"/>
        <charset val="1"/>
      </rPr>
      <t xml:space="preserve">30</t>
    </r>
    <r>
      <rPr>
        <sz val="9"/>
        <color rgb="FF333333"/>
        <rFont val="Noto Sans CJK SC"/>
        <family val="2"/>
      </rPr>
      <t xml:space="preserve">종목에 분산 투자합니다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상장 이후 </t>
    </r>
    <r>
      <rPr>
        <sz val="9"/>
        <color rgb="FF333333"/>
        <rFont val="Arial"/>
        <family val="0"/>
        <charset val="1"/>
      </rPr>
      <t xml:space="preserve">37.5% </t>
    </r>
    <r>
      <rPr>
        <sz val="9"/>
        <color rgb="FF333333"/>
        <rFont val="Noto Sans CJK SC"/>
        <family val="2"/>
      </rPr>
      <t xml:space="preserve">수익률로 강한 퍼포먼스를 보여주고 있어요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서울에 있는 건물</t>
    </r>
    <r>
      <rPr>
        <sz val="9"/>
        <color rgb="FF333333"/>
        <rFont val="Arial"/>
        <family val="0"/>
        <charset val="1"/>
      </rPr>
      <t xml:space="preserve">'
</t>
    </r>
    <r>
      <rPr>
        <sz val="9"/>
        <color rgb="FF333333"/>
        <rFont val="Noto Sans CJK SC"/>
        <family val="2"/>
      </rPr>
      <t xml:space="preserve">미국 건물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미국배당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만 있으면 환율이 불리할 때 타격이 크지만</t>
    </r>
    <r>
      <rPr>
        <sz val="9"/>
        <color rgb="FF333333"/>
        <rFont val="Arial"/>
        <family val="0"/>
        <charset val="1"/>
      </rPr>
      <t xml:space="preserve">,
</t>
    </r>
    <r>
      <rPr>
        <sz val="9"/>
        <color rgb="FF333333"/>
        <rFont val="Noto Sans CJK SC"/>
        <family val="2"/>
      </rPr>
      <t xml:space="preserve">서울 건물도 있으면 원화로 월세가 들어오니 생활비 걱정이 줄어듭니다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</si>
  <si>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KODEX </t>
    </r>
    <r>
      <rPr>
        <b val="true"/>
        <sz val="10"/>
        <color rgb="FF1B2A4A"/>
        <rFont val="Noto Sans CJK SC"/>
        <family val="2"/>
      </rPr>
      <t xml:space="preserve">미국배당커버드콜액티브
</t>
    </r>
    <r>
      <rPr>
        <b val="true"/>
        <sz val="10"/>
        <color rgb="FF1B2A4A"/>
        <rFont val="Arial"/>
        <family val="0"/>
        <charset val="1"/>
      </rPr>
      <t xml:space="preserve">(15%)</t>
    </r>
  </si>
  <si>
    <t xml:space="preserve">현금흐름 부스터</t>
  </si>
  <si>
    <r>
      <rPr>
        <sz val="9"/>
        <color rgb="FF333333"/>
        <rFont val="Noto Sans CJK SC"/>
        <family val="2"/>
      </rPr>
      <t xml:space="preserve">미국 </t>
    </r>
    <r>
      <rPr>
        <sz val="9"/>
        <color rgb="FF333333"/>
        <rFont val="Arial"/>
        <family val="0"/>
        <charset val="1"/>
      </rPr>
      <t xml:space="preserve">S&amp;P500 </t>
    </r>
    <r>
      <rPr>
        <sz val="9"/>
        <color rgb="FF333333"/>
        <rFont val="Noto Sans CJK SC"/>
        <family val="2"/>
      </rPr>
      <t xml:space="preserve">배당성장주에 투자하면서 커버드콜 전략으로 추가 수익을 만듭니다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미국 </t>
    </r>
    <r>
      <rPr>
        <sz val="9"/>
        <color rgb="FF333333"/>
        <rFont val="Arial"/>
        <family val="0"/>
        <charset val="1"/>
      </rPr>
      <t xml:space="preserve">DIVO ETF</t>
    </r>
    <r>
      <rPr>
        <sz val="9"/>
        <color rgb="FF333333"/>
        <rFont val="Noto Sans CJK SC"/>
        <family val="2"/>
      </rPr>
      <t xml:space="preserve">와 유사한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액티브</t>
    </r>
    <r>
      <rPr>
        <sz val="9"/>
        <color rgb="FF333333"/>
        <rFont val="Arial"/>
        <family val="0"/>
        <charset val="1"/>
      </rPr>
      <t xml:space="preserve">' </t>
    </r>
    <r>
      <rPr>
        <sz val="9"/>
        <color rgb="FF333333"/>
        <rFont val="Noto Sans CJK SC"/>
        <family val="2"/>
      </rPr>
      <t xml:space="preserve">운용 방식이에요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건물 주인이 옥상에 카페도 운영하는 것</t>
    </r>
    <r>
      <rPr>
        <sz val="9"/>
        <color rgb="FF333333"/>
        <rFont val="Arial"/>
        <family val="0"/>
        <charset val="1"/>
      </rPr>
      <t xml:space="preserve">'
</t>
    </r>
    <r>
      <rPr>
        <sz val="9"/>
        <color rgb="FF333333"/>
        <rFont val="Noto Sans CJK SC"/>
        <family val="2"/>
      </rPr>
      <t xml:space="preserve">월세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배당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에 더해서 카페 수입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옵션 프리미엄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까지 받는 구조입니다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연 </t>
    </r>
    <r>
      <rPr>
        <sz val="9"/>
        <color rgb="FF333333"/>
        <rFont val="Arial"/>
        <family val="0"/>
        <charset val="1"/>
      </rPr>
      <t xml:space="preserve">8% </t>
    </r>
    <r>
      <rPr>
        <sz val="9"/>
        <color rgb="FF333333"/>
        <rFont val="Noto Sans CJK SC"/>
        <family val="2"/>
      </rPr>
      <t xml:space="preserve">분배는 과하지 않으면서 현금흐름을 확실히 보강해줍니다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</si>
  <si>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KODEX </t>
    </r>
    <r>
      <rPr>
        <b val="true"/>
        <sz val="10"/>
        <color rgb="FF1B2A4A"/>
        <rFont val="Noto Sans CJK SC"/>
        <family val="2"/>
      </rPr>
      <t xml:space="preserve">미국</t>
    </r>
    <r>
      <rPr>
        <b val="true"/>
        <sz val="10"/>
        <color rgb="FF1B2A4A"/>
        <rFont val="Arial"/>
        <family val="0"/>
        <charset val="1"/>
      </rPr>
      <t xml:space="preserve">S&amp;P500
(12%)</t>
    </r>
  </si>
  <si>
    <t xml:space="preserve">장기 성장 엔진</t>
  </si>
  <si>
    <r>
      <rPr>
        <sz val="9"/>
        <color rgb="FF333333"/>
        <rFont val="Noto Sans CJK SC"/>
        <family val="2"/>
      </rPr>
      <t xml:space="preserve">미국 시장 전체의 성장을 담는 바구니입니다</t>
    </r>
    <r>
      <rPr>
        <sz val="9"/>
        <color rgb="FF333333"/>
        <rFont val="Arial"/>
        <family val="0"/>
        <charset val="1"/>
      </rPr>
      <t xml:space="preserve">.
S&amp;P500</t>
    </r>
    <r>
      <rPr>
        <sz val="9"/>
        <color rgb="FF333333"/>
        <rFont val="Noto Sans CJK SC"/>
        <family val="2"/>
      </rPr>
      <t xml:space="preserve">은 지난 </t>
    </r>
    <r>
      <rPr>
        <sz val="9"/>
        <color rgb="FF333333"/>
        <rFont val="Arial"/>
        <family val="0"/>
        <charset val="1"/>
      </rPr>
      <t xml:space="preserve">35</t>
    </r>
    <r>
      <rPr>
        <sz val="9"/>
        <color rgb="FF333333"/>
        <rFont val="Noto Sans CJK SC"/>
        <family val="2"/>
      </rPr>
      <t xml:space="preserve">년간 연평균 </t>
    </r>
    <r>
      <rPr>
        <sz val="9"/>
        <color rgb="FF333333"/>
        <rFont val="Arial"/>
        <family val="0"/>
        <charset val="1"/>
      </rPr>
      <t xml:space="preserve">10.8% </t>
    </r>
    <r>
      <rPr>
        <sz val="9"/>
        <color rgb="FF333333"/>
        <rFont val="Noto Sans CJK SC"/>
        <family val="2"/>
      </rPr>
      <t xml:space="preserve">수익률을 기록했어요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재개발 예정 지역에 사둔 땅</t>
    </r>
    <r>
      <rPr>
        <sz val="9"/>
        <color rgb="FF333333"/>
        <rFont val="Arial"/>
        <family val="0"/>
        <charset val="1"/>
      </rPr>
      <t xml:space="preserve">'
</t>
    </r>
    <r>
      <rPr>
        <sz val="9"/>
        <color rgb="FF333333"/>
        <rFont val="Noto Sans CJK SC"/>
        <family val="2"/>
      </rPr>
      <t xml:space="preserve">당장 월세는 안 나오지만 </t>
    </r>
    <r>
      <rPr>
        <sz val="9"/>
        <color rgb="FF333333"/>
        <rFont val="Arial"/>
        <family val="0"/>
        <charset val="1"/>
      </rPr>
      <t xml:space="preserve">5~10</t>
    </r>
    <r>
      <rPr>
        <sz val="9"/>
        <color rgb="FF333333"/>
        <rFont val="Noto Sans CJK SC"/>
        <family val="2"/>
      </rPr>
      <t xml:space="preserve">년 후 가치가 </t>
    </r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Noto Sans CJK SC"/>
        <family val="2"/>
      </rPr>
      <t xml:space="preserve">배 이상 될 수 있는 자산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배당이 아닌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미래 가치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에 투자하는 구간입니다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</si>
  <si>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TIGER </t>
    </r>
    <r>
      <rPr>
        <b val="true"/>
        <sz val="10"/>
        <color rgb="FF1B2A4A"/>
        <rFont val="Noto Sans CJK SC"/>
        <family val="2"/>
      </rPr>
      <t xml:space="preserve">미국테크</t>
    </r>
    <r>
      <rPr>
        <b val="true"/>
        <sz val="10"/>
        <color rgb="FF1B2A4A"/>
        <rFont val="Arial"/>
        <family val="0"/>
        <charset val="1"/>
      </rPr>
      <t xml:space="preserve">TOP10 INDXX
(8%)</t>
    </r>
  </si>
  <si>
    <t xml:space="preserve">고성장 가속기</t>
  </si>
  <si>
    <r>
      <rPr>
        <sz val="9"/>
        <color rgb="FF333333"/>
        <rFont val="Noto Sans CJK SC"/>
        <family val="2"/>
      </rPr>
      <t xml:space="preserve">애플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엔비디아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마이크로소프트 등 빅테크 </t>
    </r>
    <r>
      <rPr>
        <sz val="9"/>
        <color rgb="FF333333"/>
        <rFont val="Arial"/>
        <family val="0"/>
        <charset val="1"/>
      </rPr>
      <t xml:space="preserve">10</t>
    </r>
    <r>
      <rPr>
        <sz val="9"/>
        <color rgb="FF333333"/>
        <rFont val="Noto Sans CJK SC"/>
        <family val="2"/>
      </rPr>
      <t xml:space="preserve">종목에 집중 투자합니다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변동성이 크지만 혁신 기업들의 장기 성장력은 압도적이에요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유망 스타트업 지분 </t>
    </r>
    <r>
      <rPr>
        <sz val="9"/>
        <color rgb="FF333333"/>
        <rFont val="Arial"/>
        <family val="0"/>
        <charset val="1"/>
      </rPr>
      <t xml:space="preserve">8%'
</t>
    </r>
    <r>
      <rPr>
        <sz val="9"/>
        <color rgb="FF333333"/>
        <rFont val="Noto Sans CJK SC"/>
        <family val="2"/>
      </rPr>
      <t xml:space="preserve">전 재산을 넣기엔 위험하지만 </t>
    </r>
    <r>
      <rPr>
        <sz val="9"/>
        <color rgb="FF333333"/>
        <rFont val="Arial"/>
        <family val="0"/>
        <charset val="1"/>
      </rPr>
      <t xml:space="preserve">8%</t>
    </r>
    <r>
      <rPr>
        <sz val="9"/>
        <color rgb="FF333333"/>
        <rFont val="Noto Sans CJK SC"/>
        <family val="2"/>
      </rPr>
      <t xml:space="preserve">만 넣으면 성공 시 포트 전체를 끌어올려요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실패해도 전체 손실은 제한적입니다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</si>
  <si>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KODEX CD</t>
    </r>
    <r>
      <rPr>
        <b val="true"/>
        <sz val="10"/>
        <color rgb="FF1B2A4A"/>
        <rFont val="Noto Sans CJK SC"/>
        <family val="2"/>
      </rPr>
      <t xml:space="preserve">금리액티브</t>
    </r>
    <r>
      <rPr>
        <b val="true"/>
        <sz val="10"/>
        <color rgb="FF1B2A4A"/>
        <rFont val="Arial"/>
        <family val="0"/>
        <charset val="1"/>
      </rPr>
      <t xml:space="preserve">(</t>
    </r>
    <r>
      <rPr>
        <b val="true"/>
        <sz val="10"/>
        <color rgb="FF1B2A4A"/>
        <rFont val="Noto Sans CJK SC"/>
        <family val="2"/>
      </rPr>
      <t xml:space="preserve">합성</t>
    </r>
    <r>
      <rPr>
        <b val="true"/>
        <sz val="10"/>
        <color rgb="FF1B2A4A"/>
        <rFont val="Arial"/>
        <family val="0"/>
        <charset val="1"/>
      </rPr>
      <t xml:space="preserve">)
(20%)</t>
    </r>
  </si>
  <si>
    <t xml:space="preserve">전략적 대기 자금</t>
  </si>
  <si>
    <r>
      <rPr>
        <sz val="9"/>
        <color rgb="FF333333"/>
        <rFont val="Arial"/>
        <family val="0"/>
        <charset val="1"/>
      </rPr>
      <t xml:space="preserve">CD(</t>
    </r>
    <r>
      <rPr>
        <sz val="9"/>
        <color rgb="FF333333"/>
        <rFont val="Noto Sans CJK SC"/>
        <family val="2"/>
      </rPr>
      <t xml:space="preserve">양도성예금증서</t>
    </r>
    <r>
      <rPr>
        <sz val="9"/>
        <color rgb="FF333333"/>
        <rFont val="Arial"/>
        <family val="0"/>
        <charset val="1"/>
      </rPr>
      <t xml:space="preserve">) </t>
    </r>
    <r>
      <rPr>
        <sz val="9"/>
        <color rgb="FF333333"/>
        <rFont val="Noto Sans CJK SC"/>
        <family val="2"/>
      </rPr>
      <t xml:space="preserve">금리를 추종하는 초안전 자산입니다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하루 약 </t>
    </r>
    <r>
      <rPr>
        <sz val="9"/>
        <color rgb="FF333333"/>
        <rFont val="Arial"/>
        <family val="0"/>
        <charset val="1"/>
      </rPr>
      <t xml:space="preserve">0.01%</t>
    </r>
    <r>
      <rPr>
        <sz val="9"/>
        <color rgb="FF333333"/>
        <rFont val="Noto Sans CJK SC"/>
        <family val="2"/>
      </rPr>
      <t xml:space="preserve">씩 꾸준히 불어나는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통장 같은 </t>
    </r>
    <r>
      <rPr>
        <sz val="9"/>
        <color rgb="FF333333"/>
        <rFont val="Arial"/>
        <family val="0"/>
        <charset val="1"/>
      </rPr>
      <t xml:space="preserve">ETF'</t>
    </r>
    <r>
      <rPr>
        <sz val="9"/>
        <color rgb="FF333333"/>
        <rFont val="Noto Sans CJK SC"/>
        <family val="2"/>
      </rPr>
      <t xml:space="preserve">예요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'</t>
    </r>
    <r>
      <rPr>
        <sz val="9"/>
        <color rgb="FF333333"/>
        <rFont val="Noto Sans CJK SC"/>
        <family val="2"/>
      </rPr>
      <t xml:space="preserve">화재 시 꺼낼 금고 속 현금</t>
    </r>
    <r>
      <rPr>
        <sz val="9"/>
        <color rgb="FF333333"/>
        <rFont val="Arial"/>
        <family val="0"/>
        <charset val="1"/>
      </rPr>
      <t xml:space="preserve">'
</t>
    </r>
    <r>
      <rPr>
        <sz val="9"/>
        <color rgb="FF333333"/>
        <rFont val="Noto Sans CJK SC"/>
        <family val="2"/>
      </rPr>
      <t xml:space="preserve">평소엔 조용히 이자만 받다가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시장이 급락하면 이걸 꺼내서
할인된 가격에 좋은 </t>
    </r>
    <r>
      <rPr>
        <sz val="9"/>
        <color rgb="FF333333"/>
        <rFont val="Arial"/>
        <family val="0"/>
        <charset val="1"/>
      </rPr>
      <t xml:space="preserve">ETF</t>
    </r>
    <r>
      <rPr>
        <sz val="9"/>
        <color rgb="FF333333"/>
        <rFont val="Noto Sans CJK SC"/>
        <family val="2"/>
      </rPr>
      <t xml:space="preserve">를 줍줍하는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마른 화약</t>
    </r>
    <r>
      <rPr>
        <sz val="9"/>
        <color rgb="FF333333"/>
        <rFont val="Arial"/>
        <family val="0"/>
        <charset val="1"/>
      </rPr>
      <t xml:space="preserve">(Dry Powder)' </t>
    </r>
    <r>
      <rPr>
        <sz val="9"/>
        <color rgb="FF333333"/>
        <rFont val="Noto Sans CJK SC"/>
        <family val="2"/>
      </rPr>
      <t xml:space="preserve">역할입니다</t>
    </r>
    <r>
      <rPr>
        <sz val="9"/>
        <color rgb="FF333333"/>
        <rFont val="Arial"/>
        <family val="0"/>
        <charset val="1"/>
      </rPr>
      <t xml:space="preserve">.</t>
    </r>
  </si>
  <si>
    <t xml:space="preserve">▣ 자산관리자 의견서</t>
  </si>
  <si>
    <r>
      <rPr>
        <sz val="9"/>
        <color rgb="FF888888"/>
        <rFont val="Arial"/>
        <family val="0"/>
        <charset val="1"/>
      </rPr>
      <t xml:space="preserve">40</t>
    </r>
    <r>
      <rPr>
        <sz val="9"/>
        <color rgb="FF888888"/>
        <rFont val="Noto Sans CJK SC"/>
        <family val="2"/>
      </rPr>
      <t xml:space="preserve">년 경력 자산관리자의 솔직한 조언</t>
    </r>
  </si>
  <si>
    <t xml:space="preserve">주제</t>
  </si>
  <si>
    <t xml:space="preserve">의견</t>
  </si>
  <si>
    <t xml:space="preserve">✅ 포트폴리오 총평</t>
  </si>
  <si>
    <r>
      <rPr>
        <sz val="9"/>
        <color rgb="FF333333"/>
        <rFont val="Noto Sans CJK SC"/>
        <family val="2"/>
      </rPr>
      <t xml:space="preserve">배당 </t>
    </r>
    <r>
      <rPr>
        <sz val="9"/>
        <color rgb="FF333333"/>
        <rFont val="Arial"/>
        <family val="0"/>
        <charset val="1"/>
      </rPr>
      <t xml:space="preserve">45% + </t>
    </r>
    <r>
      <rPr>
        <sz val="9"/>
        <color rgb="FF333333"/>
        <rFont val="Noto Sans CJK SC"/>
        <family val="2"/>
      </rPr>
      <t xml:space="preserve">고배당 </t>
    </r>
    <r>
      <rPr>
        <sz val="9"/>
        <color rgb="FF333333"/>
        <rFont val="Arial"/>
        <family val="0"/>
        <charset val="1"/>
      </rPr>
      <t xml:space="preserve">15% + </t>
    </r>
    <r>
      <rPr>
        <sz val="9"/>
        <color rgb="FF333333"/>
        <rFont val="Noto Sans CJK SC"/>
        <family val="2"/>
      </rPr>
      <t xml:space="preserve">성장 </t>
    </r>
    <r>
      <rPr>
        <sz val="9"/>
        <color rgb="FF333333"/>
        <rFont val="Arial"/>
        <family val="0"/>
        <charset val="1"/>
      </rPr>
      <t xml:space="preserve">20% + </t>
    </r>
    <r>
      <rPr>
        <sz val="9"/>
        <color rgb="FF333333"/>
        <rFont val="Noto Sans CJK SC"/>
        <family val="2"/>
      </rPr>
      <t xml:space="preserve">안전판 </t>
    </r>
    <r>
      <rPr>
        <sz val="9"/>
        <color rgb="FF333333"/>
        <rFont val="Arial"/>
        <family val="0"/>
        <charset val="1"/>
      </rPr>
      <t xml:space="preserve">20%
</t>
    </r>
    <r>
      <rPr>
        <sz val="9"/>
        <color rgb="FF333333"/>
        <rFont val="Noto Sans CJK SC"/>
        <family val="2"/>
      </rPr>
      <t xml:space="preserve">만 </t>
    </r>
    <r>
      <rPr>
        <sz val="9"/>
        <color rgb="FF333333"/>
        <rFont val="Arial"/>
        <family val="0"/>
        <charset val="1"/>
      </rPr>
      <t xml:space="preserve">54</t>
    </r>
    <r>
      <rPr>
        <sz val="9"/>
        <color rgb="FF333333"/>
        <rFont val="Noto Sans CJK SC"/>
        <family val="2"/>
      </rPr>
      <t xml:space="preserve">세 은퇴 준비 투자자에게 이상적인 균형입니다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전체의 </t>
    </r>
    <r>
      <rPr>
        <sz val="9"/>
        <color rgb="FF333333"/>
        <rFont val="Arial"/>
        <family val="0"/>
        <charset val="1"/>
      </rPr>
      <t xml:space="preserve">60%</t>
    </r>
    <r>
      <rPr>
        <sz val="9"/>
        <color rgb="FF333333"/>
        <rFont val="Noto Sans CJK SC"/>
        <family val="2"/>
      </rPr>
      <t xml:space="preserve">가 매달 현금을 만들어내고</t>
    </r>
    <r>
      <rPr>
        <sz val="9"/>
        <color rgb="FF333333"/>
        <rFont val="Arial"/>
        <family val="0"/>
        <charset val="1"/>
      </rPr>
      <t xml:space="preserve">, 20%</t>
    </r>
    <r>
      <rPr>
        <sz val="9"/>
        <color rgb="FF333333"/>
        <rFont val="Noto Sans CJK SC"/>
        <family val="2"/>
      </rPr>
      <t xml:space="preserve">는 자산을 불리며</t>
    </r>
    <r>
      <rPr>
        <sz val="9"/>
        <color rgb="FF333333"/>
        <rFont val="Arial"/>
        <family val="0"/>
        <charset val="1"/>
      </rPr>
      <t xml:space="preserve">, 20%</t>
    </r>
    <r>
      <rPr>
        <sz val="9"/>
        <color rgb="FF333333"/>
        <rFont val="Noto Sans CJK SC"/>
        <family val="2"/>
      </rPr>
      <t xml:space="preserve">는 위기 방어막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월급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배당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도 받고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부동산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성장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도 보유하고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비상금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안전판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도 있는 구조입니다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</si>
  <si>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Noto Sans CJK SC"/>
        <family val="2"/>
      </rPr>
      <t xml:space="preserve">💡 왜 </t>
    </r>
    <r>
      <rPr>
        <b val="true"/>
        <sz val="10"/>
        <color rgb="FF1B2A4A"/>
        <rFont val="Arial"/>
        <family val="0"/>
        <charset val="1"/>
      </rPr>
      <t xml:space="preserve">6</t>
    </r>
    <r>
      <rPr>
        <b val="true"/>
        <sz val="10"/>
        <color rgb="FF1B2A4A"/>
        <rFont val="Noto Sans CJK SC"/>
        <family val="2"/>
      </rPr>
      <t xml:space="preserve">종목이 최적인가</t>
    </r>
  </si>
  <si>
    <r>
      <rPr>
        <sz val="9"/>
        <color rgb="FF333333"/>
        <rFont val="Arial"/>
        <family val="0"/>
        <charset val="1"/>
      </rPr>
      <t xml:space="preserve">ETF </t>
    </r>
    <r>
      <rPr>
        <sz val="9"/>
        <color rgb="FF333333"/>
        <rFont val="Noto Sans CJK SC"/>
        <family val="2"/>
      </rPr>
      <t xml:space="preserve">투자에서 종목이 많다고 좋은 게 아닙니다</t>
    </r>
    <r>
      <rPr>
        <sz val="9"/>
        <color rgb="FF333333"/>
        <rFont val="Arial"/>
        <family val="0"/>
        <charset val="1"/>
      </rPr>
      <t xml:space="preserve">.
6</t>
    </r>
    <r>
      <rPr>
        <sz val="9"/>
        <color rgb="FF333333"/>
        <rFont val="Noto Sans CJK SC"/>
        <family val="2"/>
      </rPr>
      <t xml:space="preserve">종목이면 미국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한국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배당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성장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안전 모든 축을 커버하면서 관리가 간결합니다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접시 </t>
    </r>
    <r>
      <rPr>
        <sz val="9"/>
        <color rgb="FF333333"/>
        <rFont val="Arial"/>
        <family val="0"/>
        <charset val="1"/>
      </rPr>
      <t xml:space="preserve">6</t>
    </r>
    <r>
      <rPr>
        <sz val="9"/>
        <color rgb="FF333333"/>
        <rFont val="Noto Sans CJK SC"/>
        <family val="2"/>
      </rPr>
      <t xml:space="preserve">개에 골고루 담긴 한정식이 접시 </t>
    </r>
    <r>
      <rPr>
        <sz val="9"/>
        <color rgb="FF333333"/>
        <rFont val="Arial"/>
        <family val="0"/>
        <charset val="1"/>
      </rPr>
      <t xml:space="preserve">20</t>
    </r>
    <r>
      <rPr>
        <sz val="9"/>
        <color rgb="FF333333"/>
        <rFont val="Noto Sans CJK SC"/>
        <family val="2"/>
      </rPr>
      <t xml:space="preserve">개짜리 뷔페보다 영양 밸런스가 좋아요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리밸런싱도 쉽고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비중 변화를 한눈에 파악할 수 있습니다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</si>
  <si>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Arial"/>
        <family val="0"/>
        <charset val="1"/>
      </rPr>
      <t xml:space="preserve">📌 ISA </t>
    </r>
    <r>
      <rPr>
        <b val="true"/>
        <sz val="10"/>
        <color rgb="FF1B2A4A"/>
        <rFont val="Noto Sans CJK SC"/>
        <family val="2"/>
      </rPr>
      <t xml:space="preserve">계좌 활용 필수</t>
    </r>
  </si>
  <si>
    <r>
      <rPr>
        <sz val="9"/>
        <color rgb="FF333333"/>
        <rFont val="Noto Sans CJK SC"/>
        <family val="2"/>
      </rPr>
      <t xml:space="preserve">고배당 </t>
    </r>
    <r>
      <rPr>
        <sz val="9"/>
        <color rgb="FF333333"/>
        <rFont val="Arial"/>
        <family val="0"/>
        <charset val="1"/>
      </rPr>
      <t xml:space="preserve">ETF(KODEX </t>
    </r>
    <r>
      <rPr>
        <sz val="9"/>
        <color rgb="FF333333"/>
        <rFont val="Noto Sans CJK SC"/>
        <family val="2"/>
      </rPr>
      <t xml:space="preserve">미국배당커버드콜액티브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Noto Sans CJK SC"/>
        <family val="2"/>
      </rPr>
      <t xml:space="preserve">와 배당 </t>
    </r>
    <r>
      <rPr>
        <sz val="9"/>
        <color rgb="FF333333"/>
        <rFont val="Arial"/>
        <family val="0"/>
        <charset val="1"/>
      </rPr>
      <t xml:space="preserve">ETF</t>
    </r>
    <r>
      <rPr>
        <sz val="9"/>
        <color rgb="FF333333"/>
        <rFont val="Noto Sans CJK SC"/>
        <family val="2"/>
      </rPr>
      <t xml:space="preserve">는 반드시 </t>
    </r>
    <r>
      <rPr>
        <sz val="9"/>
        <color rgb="FF333333"/>
        <rFont val="Arial"/>
        <family val="0"/>
        <charset val="1"/>
      </rPr>
      <t xml:space="preserve">ISA </t>
    </r>
    <r>
      <rPr>
        <sz val="9"/>
        <color rgb="FF333333"/>
        <rFont val="Noto Sans CJK SC"/>
        <family val="2"/>
      </rPr>
      <t xml:space="preserve">계좌에서 운용하세요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일반계좌 배당소득세</t>
    </r>
    <r>
      <rPr>
        <sz val="9"/>
        <color rgb="FF333333"/>
        <rFont val="Arial"/>
        <family val="0"/>
        <charset val="1"/>
      </rPr>
      <t xml:space="preserve">: 15.4%
ISA </t>
    </r>
    <r>
      <rPr>
        <sz val="9"/>
        <color rgb="FF333333"/>
        <rFont val="Noto Sans CJK SC"/>
        <family val="2"/>
      </rPr>
      <t xml:space="preserve">분리과세</t>
    </r>
    <r>
      <rPr>
        <sz val="9"/>
        <color rgb="FF333333"/>
        <rFont val="Arial"/>
        <family val="0"/>
        <charset val="1"/>
      </rPr>
      <t xml:space="preserve">: 9.9% (200</t>
    </r>
    <r>
      <rPr>
        <sz val="9"/>
        <color rgb="FF333333"/>
        <rFont val="Noto Sans CJK SC"/>
        <family val="2"/>
      </rPr>
      <t xml:space="preserve">만원 비과세 후 초과분</t>
    </r>
    <r>
      <rPr>
        <sz val="9"/>
        <color rgb="FF333333"/>
        <rFont val="Arial"/>
        <family val="0"/>
        <charset val="1"/>
      </rPr>
      <t xml:space="preserve">)
1</t>
    </r>
    <r>
      <rPr>
        <sz val="9"/>
        <color rgb="FF333333"/>
        <rFont val="Noto Sans CJK SC"/>
        <family val="2"/>
      </rPr>
      <t xml:space="preserve">억 포트 기준 연 </t>
    </r>
    <r>
      <rPr>
        <sz val="9"/>
        <color rgb="FF333333"/>
        <rFont val="Arial"/>
        <family val="0"/>
        <charset val="1"/>
      </rPr>
      <t xml:space="preserve">30~50</t>
    </r>
    <r>
      <rPr>
        <sz val="9"/>
        <color rgb="FF333333"/>
        <rFont val="Noto Sans CJK SC"/>
        <family val="2"/>
      </rPr>
      <t xml:space="preserve">만원 이상 절세 가능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같은 과일나무라도 세금이 적은 밭에 심으면 내 손에 남는 과일이 더 많아지는 원리입니다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</si>
  <si>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0"/>
        <color rgb="FF1B2A4A"/>
        <rFont val="Noto Sans CJK SC"/>
        <family val="2"/>
      </rPr>
      <t xml:space="preserve">⚠️ 커버드콜 </t>
    </r>
    <r>
      <rPr>
        <b val="true"/>
        <sz val="10"/>
        <color rgb="FF1B2A4A"/>
        <rFont val="Arial"/>
        <family val="0"/>
        <charset val="1"/>
      </rPr>
      <t xml:space="preserve">ETF </t>
    </r>
    <r>
      <rPr>
        <b val="true"/>
        <sz val="10"/>
        <color rgb="FF1B2A4A"/>
        <rFont val="Noto Sans CJK SC"/>
        <family val="2"/>
      </rPr>
      <t xml:space="preserve">주의사항</t>
    </r>
  </si>
  <si>
    <r>
      <rPr>
        <sz val="9"/>
        <color rgb="FF333333"/>
        <rFont val="Arial"/>
        <family val="0"/>
        <charset val="1"/>
      </rPr>
      <t xml:space="preserve">KODEX </t>
    </r>
    <r>
      <rPr>
        <sz val="9"/>
        <color rgb="FF333333"/>
        <rFont val="Noto Sans CJK SC"/>
        <family val="2"/>
      </rPr>
      <t xml:space="preserve">미국배당커버드콜액티브는 연 </t>
    </r>
    <r>
      <rPr>
        <sz val="9"/>
        <color rgb="FF333333"/>
        <rFont val="Arial"/>
        <family val="0"/>
        <charset val="1"/>
      </rPr>
      <t xml:space="preserve">8% </t>
    </r>
    <r>
      <rPr>
        <sz val="9"/>
        <color rgb="FF333333"/>
        <rFont val="Noto Sans CJK SC"/>
        <family val="2"/>
      </rPr>
      <t xml:space="preserve">분배가 매력적이지만 주의할 점이 있어요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커버드콜 </t>
    </r>
    <r>
      <rPr>
        <sz val="9"/>
        <color rgb="FF333333"/>
        <rFont val="Arial"/>
        <family val="0"/>
        <charset val="1"/>
      </rPr>
      <t xml:space="preserve">= </t>
    </r>
    <r>
      <rPr>
        <sz val="9"/>
        <color rgb="FF333333"/>
        <rFont val="Noto Sans CJK SC"/>
        <family val="2"/>
      </rPr>
      <t xml:space="preserve">주가 상승 시 수익의 일부를 포기하고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대신 매달 현금을 받는 전략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비유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과수원 주인이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올해 사과 </t>
    </r>
    <r>
      <rPr>
        <sz val="9"/>
        <color rgb="FF333333"/>
        <rFont val="Arial"/>
        <family val="0"/>
        <charset val="1"/>
      </rPr>
      <t xml:space="preserve">100</t>
    </r>
    <r>
      <rPr>
        <sz val="9"/>
        <color rgb="FF333333"/>
        <rFont val="Noto Sans CJK SC"/>
        <family val="2"/>
      </rPr>
      <t xml:space="preserve">개 중 </t>
    </r>
    <r>
      <rPr>
        <sz val="9"/>
        <color rgb="FF333333"/>
        <rFont val="Arial"/>
        <family val="0"/>
        <charset val="1"/>
      </rPr>
      <t xml:space="preserve">30</t>
    </r>
    <r>
      <rPr>
        <sz val="9"/>
        <color rgb="FF333333"/>
        <rFont val="Noto Sans CJK SC"/>
        <family val="2"/>
      </rPr>
      <t xml:space="preserve">개를 미리 예약판매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하는 것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사과값이 폭등해도 예약분은 헐값에 넘겨야 하지만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사과값이 떨어져도 예약금은 확보됩니다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단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연 </t>
    </r>
    <r>
      <rPr>
        <sz val="9"/>
        <color rgb="FF333333"/>
        <rFont val="Arial"/>
        <family val="0"/>
        <charset val="1"/>
      </rPr>
      <t xml:space="preserve">10% </t>
    </r>
    <r>
      <rPr>
        <sz val="9"/>
        <color rgb="FF333333"/>
        <rFont val="Noto Sans CJK SC"/>
        <family val="2"/>
      </rPr>
      <t xml:space="preserve">이상 초고수익을 약속하는 커버드콜은 원금을 갉아먹을 수 있어 주의가 필요해요</t>
    </r>
    <r>
      <rPr>
        <sz val="9"/>
        <color rgb="FF333333"/>
        <rFont val="Arial"/>
        <family val="0"/>
        <charset val="1"/>
      </rPr>
      <t xml:space="preserve">.
</t>
    </r>
    <r>
      <rPr>
        <sz val="9"/>
        <color rgb="FF333333"/>
        <rFont val="Noto Sans CJK SC"/>
        <family val="2"/>
      </rPr>
      <t xml:space="preserve">이 </t>
    </r>
    <r>
      <rPr>
        <sz val="9"/>
        <color rgb="FF333333"/>
        <rFont val="Arial"/>
        <family val="0"/>
        <charset val="1"/>
      </rPr>
      <t xml:space="preserve">ETF</t>
    </r>
    <r>
      <rPr>
        <sz val="9"/>
        <color rgb="FF333333"/>
        <rFont val="Noto Sans CJK SC"/>
        <family val="2"/>
      </rPr>
      <t xml:space="preserve">는 </t>
    </r>
    <r>
      <rPr>
        <sz val="9"/>
        <color rgb="FF333333"/>
        <rFont val="Arial"/>
        <family val="0"/>
        <charset val="1"/>
      </rPr>
      <t xml:space="preserve">8% </t>
    </r>
    <r>
      <rPr>
        <sz val="9"/>
        <color rgb="FF333333"/>
        <rFont val="Noto Sans CJK SC"/>
        <family val="2"/>
      </rPr>
      <t xml:space="preserve">수준이라 건전한 범위입니다</t>
    </r>
    <r>
      <rPr>
        <sz val="9"/>
        <color rgb="FF333333"/>
        <rFont val="Arial"/>
        <family val="0"/>
        <charset val="1"/>
      </rPr>
      <t xml:space="preserve">.</t>
    </r>
  </si>
  <si>
    <t xml:space="preserve">🔄 운용 가이드</t>
  </si>
  <si>
    <r>
      <rPr>
        <sz val="9"/>
        <color rgb="FF333333"/>
        <rFont val="Noto Sans CJK SC"/>
        <family val="2"/>
      </rPr>
      <t xml:space="preserve">① 매수 타이밍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매월 </t>
    </r>
    <r>
      <rPr>
        <sz val="9"/>
        <color rgb="FF333333"/>
        <rFont val="Arial"/>
        <family val="0"/>
        <charset val="1"/>
      </rPr>
      <t xml:space="preserve">15~20</t>
    </r>
    <r>
      <rPr>
        <sz val="9"/>
        <color rgb="FF333333"/>
        <rFont val="Noto Sans CJK SC"/>
        <family val="2"/>
      </rPr>
      <t xml:space="preserve">일 사이 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배당락일 전 매수 → 당월 배당 수령</t>
    </r>
    <r>
      <rPr>
        <sz val="9"/>
        <color rgb="FF333333"/>
        <rFont val="Arial"/>
        <family val="0"/>
        <charset val="1"/>
      </rPr>
      <t xml:space="preserve">)
② </t>
    </r>
    <r>
      <rPr>
        <sz val="9"/>
        <color rgb="FF333333"/>
        <rFont val="Noto Sans CJK SC"/>
        <family val="2"/>
      </rPr>
      <t xml:space="preserve">리밸런싱</t>
    </r>
    <r>
      <rPr>
        <sz val="9"/>
        <color rgb="FF333333"/>
        <rFont val="Arial"/>
        <family val="0"/>
        <charset val="1"/>
      </rPr>
      <t xml:space="preserve">: 6</t>
    </r>
    <r>
      <rPr>
        <sz val="9"/>
        <color rgb="FF333333"/>
        <rFont val="Noto Sans CJK SC"/>
        <family val="2"/>
      </rPr>
      <t xml:space="preserve">개월에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Noto Sans CJK SC"/>
        <family val="2"/>
      </rPr>
      <t xml:space="preserve">회 비중 점검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성장 부분이 크게 오르면 일부 → 배당으로 이동
③ 급락 대응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시장 </t>
    </r>
    <r>
      <rPr>
        <sz val="9"/>
        <color rgb="FF333333"/>
        <rFont val="Arial"/>
        <family val="0"/>
        <charset val="1"/>
      </rPr>
      <t xml:space="preserve">10%+ </t>
    </r>
    <r>
      <rPr>
        <sz val="9"/>
        <color rgb="FF333333"/>
        <rFont val="Noto Sans CJK SC"/>
        <family val="2"/>
      </rPr>
      <t xml:space="preserve">하락 시 </t>
    </r>
    <r>
      <rPr>
        <sz val="9"/>
        <color rgb="FF333333"/>
        <rFont val="Arial"/>
        <family val="0"/>
        <charset val="1"/>
      </rPr>
      <t xml:space="preserve">CD</t>
    </r>
    <r>
      <rPr>
        <sz val="9"/>
        <color rgb="FF333333"/>
        <rFont val="Noto Sans CJK SC"/>
        <family val="2"/>
      </rPr>
      <t xml:space="preserve">금리 일부 매도 → </t>
    </r>
    <r>
      <rPr>
        <sz val="9"/>
        <color rgb="FF333333"/>
        <rFont val="Arial"/>
        <family val="0"/>
        <charset val="1"/>
      </rPr>
      <t xml:space="preserve">S&amp;P500/</t>
    </r>
    <r>
      <rPr>
        <sz val="9"/>
        <color rgb="FF333333"/>
        <rFont val="Noto Sans CJK SC"/>
        <family val="2"/>
      </rPr>
      <t xml:space="preserve">미국배당 추가매수
④ 연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Noto Sans CJK SC"/>
        <family val="2"/>
      </rPr>
      <t xml:space="preserve">회 점검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커버드콜 </t>
    </r>
    <r>
      <rPr>
        <sz val="9"/>
        <color rgb="FF333333"/>
        <rFont val="Arial"/>
        <family val="0"/>
        <charset val="1"/>
      </rPr>
      <t xml:space="preserve">ETF</t>
    </r>
    <r>
      <rPr>
        <sz val="9"/>
        <color rgb="FF333333"/>
        <rFont val="Noto Sans CJK SC"/>
        <family val="2"/>
      </rPr>
      <t xml:space="preserve">의 분배금 </t>
    </r>
    <r>
      <rPr>
        <sz val="9"/>
        <color rgb="FF333333"/>
        <rFont val="Arial"/>
        <family val="0"/>
        <charset val="1"/>
      </rPr>
      <t xml:space="preserve">vs </t>
    </r>
    <r>
      <rPr>
        <sz val="9"/>
        <color rgb="FF333333"/>
        <rFont val="Noto Sans CJK SC"/>
        <family val="2"/>
      </rPr>
      <t xml:space="preserve">원금 변화 확인
⑤ 배당 재투자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초기 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Noto Sans CJK SC"/>
        <family val="2"/>
      </rPr>
      <t xml:space="preserve">년은 배당금을 재투자하면 복리 효과 극대화</t>
    </r>
  </si>
  <si>
    <r>
      <rPr>
        <b val="true"/>
        <sz val="10"/>
        <color rgb="FF1B2A4A"/>
        <rFont val="Noto Sans CJK SC"/>
        <family val="2"/>
      </rPr>
      <t xml:space="preserve">📊 기대 수익 시나리오 </t>
    </r>
    <r>
      <rPr>
        <b val="true"/>
        <sz val="10"/>
        <color rgb="FF1B2A4A"/>
        <rFont val="Arial"/>
        <family val="0"/>
        <charset val="1"/>
      </rPr>
      <t xml:space="preserve">(1</t>
    </r>
    <r>
      <rPr>
        <b val="true"/>
        <sz val="10"/>
        <color rgb="FF1B2A4A"/>
        <rFont val="Noto Sans CJK SC"/>
        <family val="2"/>
      </rPr>
      <t xml:space="preserve">억 기준</t>
    </r>
    <r>
      <rPr>
        <b val="true"/>
        <sz val="10"/>
        <color rgb="FF1B2A4A"/>
        <rFont val="Arial"/>
        <family val="0"/>
        <charset val="1"/>
      </rPr>
      <t xml:space="preserve">)</t>
    </r>
  </si>
  <si>
    <r>
      <rPr>
        <sz val="9"/>
        <color rgb="FF333333"/>
        <rFont val="Noto Sans CJK SC"/>
        <family val="2"/>
      </rPr>
      <t xml:space="preserve">현 구성 가중평균 배당수익률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약 </t>
    </r>
    <r>
      <rPr>
        <sz val="9"/>
        <color rgb="FF333333"/>
        <rFont val="Arial"/>
        <family val="0"/>
        <charset val="1"/>
      </rPr>
      <t xml:space="preserve">3.8%
</t>
    </r>
    <r>
      <rPr>
        <sz val="9"/>
        <color rgb="FF333333"/>
        <rFont val="Noto Sans CJK SC"/>
        <family val="2"/>
      </rPr>
      <t xml:space="preserve">연간 예상 배당</t>
    </r>
    <r>
      <rPr>
        <sz val="9"/>
        <color rgb="FF333333"/>
        <rFont val="Arial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약 </t>
    </r>
    <r>
      <rPr>
        <sz val="9"/>
        <color rgb="FF333333"/>
        <rFont val="Arial"/>
        <family val="0"/>
        <charset val="1"/>
      </rPr>
      <t xml:space="preserve">380</t>
    </r>
    <r>
      <rPr>
        <sz val="9"/>
        <color rgb="FF333333"/>
        <rFont val="Noto Sans CJK SC"/>
        <family val="2"/>
      </rPr>
      <t xml:space="preserve">만원 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월 약 </t>
    </r>
    <r>
      <rPr>
        <sz val="9"/>
        <color rgb="FF333333"/>
        <rFont val="Arial"/>
        <family val="0"/>
        <charset val="1"/>
      </rPr>
      <t xml:space="preserve">32</t>
    </r>
    <r>
      <rPr>
        <sz val="9"/>
        <color rgb="FF333333"/>
        <rFont val="Noto Sans CJK SC"/>
        <family val="2"/>
      </rPr>
      <t xml:space="preserve">만원</t>
    </r>
    <r>
      <rPr>
        <sz val="9"/>
        <color rgb="FF333333"/>
        <rFont val="Arial"/>
        <family val="0"/>
        <charset val="1"/>
      </rPr>
      <t xml:space="preserve">)
◆ 5</t>
    </r>
    <r>
      <rPr>
        <sz val="9"/>
        <color rgb="FF333333"/>
        <rFont val="Noto Sans CJK SC"/>
        <family val="2"/>
      </rPr>
      <t xml:space="preserve">년 후 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배당 성장률 </t>
    </r>
    <r>
      <rPr>
        <sz val="9"/>
        <color rgb="FF333333"/>
        <rFont val="Arial"/>
        <family val="0"/>
        <charset val="1"/>
      </rPr>
      <t xml:space="preserve">5%, </t>
    </r>
    <r>
      <rPr>
        <sz val="9"/>
        <color rgb="FF333333"/>
        <rFont val="Noto Sans CJK SC"/>
        <family val="2"/>
      </rPr>
      <t xml:space="preserve">자본성장 </t>
    </r>
    <r>
      <rPr>
        <sz val="9"/>
        <color rgb="FF333333"/>
        <rFont val="Arial"/>
        <family val="0"/>
        <charset val="1"/>
      </rPr>
      <t xml:space="preserve">7% </t>
    </r>
    <r>
      <rPr>
        <sz val="9"/>
        <color rgb="FF333333"/>
        <rFont val="Noto Sans CJK SC"/>
        <family val="2"/>
      </rPr>
      <t xml:space="preserve">가정</t>
    </r>
    <r>
      <rPr>
        <sz val="9"/>
        <color rgb="FF333333"/>
        <rFont val="Arial"/>
        <family val="0"/>
        <charset val="1"/>
      </rPr>
      <t xml:space="preserve">)
  → </t>
    </r>
    <r>
      <rPr>
        <sz val="9"/>
        <color rgb="FF333333"/>
        <rFont val="Noto Sans CJK SC"/>
        <family val="2"/>
      </rPr>
      <t xml:space="preserve">자산 약 </t>
    </r>
    <r>
      <rPr>
        <sz val="9"/>
        <color rgb="FF333333"/>
        <rFont val="Arial"/>
        <family val="0"/>
        <charset val="1"/>
      </rPr>
      <t xml:space="preserve">1.3~1.4</t>
    </r>
    <r>
      <rPr>
        <sz val="9"/>
        <color rgb="FF333333"/>
        <rFont val="Noto Sans CJK SC"/>
        <family val="2"/>
      </rPr>
      <t xml:space="preserve">억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연 배당 약 </t>
    </r>
    <r>
      <rPr>
        <sz val="9"/>
        <color rgb="FF333333"/>
        <rFont val="Arial"/>
        <family val="0"/>
        <charset val="1"/>
      </rPr>
      <t xml:space="preserve">500</t>
    </r>
    <r>
      <rPr>
        <sz val="9"/>
        <color rgb="FF333333"/>
        <rFont val="Noto Sans CJK SC"/>
        <family val="2"/>
      </rPr>
      <t xml:space="preserve">만원 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월 </t>
    </r>
    <r>
      <rPr>
        <sz val="9"/>
        <color rgb="FF333333"/>
        <rFont val="Arial"/>
        <family val="0"/>
        <charset val="1"/>
      </rPr>
      <t xml:space="preserve">42</t>
    </r>
    <r>
      <rPr>
        <sz val="9"/>
        <color rgb="FF333333"/>
        <rFont val="Noto Sans CJK SC"/>
        <family val="2"/>
      </rPr>
      <t xml:space="preserve">만원</t>
    </r>
    <r>
      <rPr>
        <sz val="9"/>
        <color rgb="FF333333"/>
        <rFont val="Arial"/>
        <family val="0"/>
        <charset val="1"/>
      </rPr>
      <t xml:space="preserve">)
◆ 10</t>
    </r>
    <r>
      <rPr>
        <sz val="9"/>
        <color rgb="FF333333"/>
        <rFont val="Noto Sans CJK SC"/>
        <family val="2"/>
      </rPr>
      <t xml:space="preserve">년 후
  → 자산 약 </t>
    </r>
    <r>
      <rPr>
        <sz val="9"/>
        <color rgb="FF333333"/>
        <rFont val="Arial"/>
        <family val="0"/>
        <charset val="1"/>
      </rPr>
      <t xml:space="preserve">1.8~2.0</t>
    </r>
    <r>
      <rPr>
        <sz val="9"/>
        <color rgb="FF333333"/>
        <rFont val="Noto Sans CJK SC"/>
        <family val="2"/>
      </rPr>
      <t xml:space="preserve">억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연 배당 약 </t>
    </r>
    <r>
      <rPr>
        <sz val="9"/>
        <color rgb="FF333333"/>
        <rFont val="Arial"/>
        <family val="0"/>
        <charset val="1"/>
      </rPr>
      <t xml:space="preserve">650</t>
    </r>
    <r>
      <rPr>
        <sz val="9"/>
        <color rgb="FF333333"/>
        <rFont val="Noto Sans CJK SC"/>
        <family val="2"/>
      </rPr>
      <t xml:space="preserve">만원 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월 </t>
    </r>
    <r>
      <rPr>
        <sz val="9"/>
        <color rgb="FF333333"/>
        <rFont val="Arial"/>
        <family val="0"/>
        <charset val="1"/>
      </rPr>
      <t xml:space="preserve">54</t>
    </r>
    <r>
      <rPr>
        <sz val="9"/>
        <color rgb="FF333333"/>
        <rFont val="Noto Sans CJK SC"/>
        <family val="2"/>
      </rPr>
      <t xml:space="preserve">만원</t>
    </r>
    <r>
      <rPr>
        <sz val="9"/>
        <color rgb="FF333333"/>
        <rFont val="Arial"/>
        <family val="0"/>
        <charset val="1"/>
      </rPr>
      <t xml:space="preserve">)
</t>
    </r>
    <r>
      <rPr>
        <sz val="9"/>
        <color rgb="FF333333"/>
        <rFont val="Noto Sans CJK SC"/>
        <family val="2"/>
      </rPr>
      <t xml:space="preserve">배당이 매년 성장하기 때문에 </t>
    </r>
    <r>
      <rPr>
        <sz val="9"/>
        <color rgb="FF333333"/>
        <rFont val="Arial"/>
        <family val="0"/>
        <charset val="1"/>
      </rPr>
      <t xml:space="preserve">'</t>
    </r>
    <r>
      <rPr>
        <sz val="9"/>
        <color rgb="FF333333"/>
        <rFont val="Noto Sans CJK SC"/>
        <family val="2"/>
      </rPr>
      <t xml:space="preserve">시간이 지날수록 월급이 올라가는</t>
    </r>
    <r>
      <rPr>
        <sz val="9"/>
        <color rgb="FF333333"/>
        <rFont val="Arial"/>
        <family val="0"/>
        <charset val="1"/>
      </rPr>
      <t xml:space="preserve">' </t>
    </r>
    <r>
      <rPr>
        <sz val="9"/>
        <color rgb="FF333333"/>
        <rFont val="Noto Sans CJK SC"/>
        <family val="2"/>
      </rPr>
      <t xml:space="preserve">구조입니다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</si>
  <si>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i val="true"/>
        <sz val="8"/>
        <color rgb="FF999999"/>
        <rFont val="Noto Sans CJK SC"/>
        <family val="2"/>
      </rPr>
      <t xml:space="preserve">※ 본 자료는 투자 참고용이며</t>
    </r>
    <r>
      <rPr>
        <i val="true"/>
        <sz val="8"/>
        <color rgb="FF999999"/>
        <rFont val="Arial"/>
        <family val="0"/>
        <charset val="1"/>
      </rPr>
      <t xml:space="preserve">, </t>
    </r>
    <r>
      <rPr>
        <i val="true"/>
        <sz val="8"/>
        <color rgb="FF999999"/>
        <rFont val="Noto Sans CJK SC"/>
        <family val="2"/>
      </rPr>
      <t xml:space="preserve">배당률은 과거 실적 기반 추정치입니다</t>
    </r>
    <r>
      <rPr>
        <i val="true"/>
        <sz val="8"/>
        <color rgb="FF999999"/>
        <rFont val="Arial"/>
        <family val="0"/>
        <charset val="1"/>
      </rPr>
      <t xml:space="preserve">. </t>
    </r>
    <r>
      <rPr>
        <i val="true"/>
        <sz val="8"/>
        <color rgb="FF999999"/>
        <rFont val="Noto Sans CJK SC"/>
        <family val="2"/>
      </rPr>
      <t xml:space="preserve">실제 매수 시 시장가와 차이가 있을 수 있으며</t>
    </r>
    <r>
      <rPr>
        <i val="true"/>
        <sz val="8"/>
        <color rgb="FF999999"/>
        <rFont val="Arial"/>
        <family val="0"/>
        <charset val="1"/>
      </rPr>
      <t xml:space="preserve">, </t>
    </r>
    <r>
      <rPr>
        <i val="true"/>
        <sz val="8"/>
        <color rgb="FF999999"/>
        <rFont val="Noto Sans CJK SC"/>
        <family val="2"/>
      </rPr>
      <t xml:space="preserve">미래 수익을 보장하지 않습니다</t>
    </r>
    <r>
      <rPr>
        <i val="true"/>
        <sz val="8"/>
        <color rgb="FF999999"/>
        <rFont val="Arial"/>
        <family val="0"/>
        <charset val="1"/>
      </rPr>
      <t xml:space="preserve">. </t>
    </r>
    <r>
      <rPr>
        <i val="true"/>
        <sz val="8"/>
        <color rgb="FF999999"/>
        <rFont val="Noto Sans CJK SC"/>
        <family val="2"/>
      </rPr>
      <t xml:space="preserve">투자 판단의 최종 책임은 투자자 본인에게 있습니다</t>
    </r>
    <r>
      <rPr>
        <i val="true"/>
        <sz val="8"/>
        <color rgb="FF99999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</si>
</sst>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0.0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6"/>
      <color rgb="FF1B2A4A"/>
      <name val="Noto Sans CJK SC"/>
      <family val="2"/>
    </font>
    <font>
      <sz val="9"/>
      <color rgb="FF888888"/>
      <name val="Noto Sans CJK SC"/>
      <family val="2"/>
    </font>
    <font>
      <sz val="9"/>
      <color rgb="FF888888"/>
      <name val="Arial"/>
      <family val="0"/>
      <charset val="1"/>
    </font>
    <font>
      <b val="true"/>
      <sz val="12"/>
      <color rgb="FF1B2A4A"/>
      <name val="Noto Sans CJK SC"/>
      <family val="2"/>
    </font>
    <font>
      <b val="true"/>
      <sz val="12"/>
      <color rgb="FF1B2A4A"/>
      <name val="Arial"/>
      <family val="0"/>
      <charset val="1"/>
    </font>
    <font>
      <sz val="10"/>
      <color rgb="FF333333"/>
      <name val="Noto Sans CJK SC"/>
      <family val="2"/>
    </font>
    <font>
      <sz val="10"/>
      <color rgb="FF333333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555555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Noto Sans CJK SC"/>
      <family val="2"/>
    </font>
    <font>
      <b val="true"/>
      <sz val="12"/>
      <color rgb="FF0000FF"/>
      <name val="Arial"/>
      <family val="0"/>
      <charset val="1"/>
    </font>
    <font>
      <i val="true"/>
      <sz val="9"/>
      <color rgb="FFFF0000"/>
      <name val="Noto Sans CJK SC"/>
      <family val="2"/>
    </font>
    <font>
      <sz val="8"/>
      <color rgb="FF999999"/>
      <name val="Noto Sans CJK SC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1B2A4A"/>
      <name val="Noto Sans CJK SC"/>
      <family val="2"/>
    </font>
    <font>
      <b val="true"/>
      <sz val="14"/>
      <color rgb="FFC00000"/>
      <name val="Arial"/>
      <family val="0"/>
      <charset val="1"/>
    </font>
    <font>
      <b val="true"/>
      <sz val="14"/>
      <color rgb="FF1B2A4A"/>
      <name val="Noto Sans CJK SC"/>
      <family val="2"/>
    </font>
    <font>
      <b val="true"/>
      <sz val="10"/>
      <color rgb="FF1B2A4A"/>
      <name val="Arial"/>
      <family val="0"/>
      <charset val="1"/>
    </font>
    <font>
      <b val="true"/>
      <sz val="10"/>
      <color rgb="FF4472C4"/>
      <name val="Noto Sans CJK SC"/>
      <family val="2"/>
    </font>
    <font>
      <sz val="9"/>
      <color rgb="FF333333"/>
      <name val="Arial"/>
      <family val="0"/>
      <charset val="1"/>
    </font>
    <font>
      <sz val="9"/>
      <color rgb="FF333333"/>
      <name val="Noto Sans CJK SC"/>
      <family val="2"/>
    </font>
    <font>
      <b val="true"/>
      <sz val="10"/>
      <color rgb="FF4472C4"/>
      <name val="Arial"/>
      <family val="0"/>
      <charset val="1"/>
    </font>
    <font>
      <i val="true"/>
      <sz val="8"/>
      <color rgb="FF999999"/>
      <name val="Noto Sans CJK SC"/>
      <family val="2"/>
    </font>
    <font>
      <i val="true"/>
      <sz val="8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D6E4F0"/>
      </patternFill>
    </fill>
    <fill>
      <patternFill patternType="solid">
        <fgColor rgb="FFFFFFFF"/>
        <bgColor rgb="FFFFFFF0"/>
      </patternFill>
    </fill>
    <fill>
      <patternFill patternType="solid">
        <fgColor rgb="FF2C3E6B"/>
        <bgColor rgb="FF333333"/>
      </patternFill>
    </fill>
    <fill>
      <patternFill patternType="solid">
        <fgColor rgb="FFD6E4F0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D9E2F3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F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99999"/>
      <rgbColor rgb="FF1B2A4A"/>
      <rgbColor rgb="FF339966"/>
      <rgbColor rgb="FF003300"/>
      <rgbColor rgb="FF555555"/>
      <rgbColor rgb="FF993300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8"/>
  </cols>
  <sheetData>
    <row r="1" customFormat="false" ht="23.8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4" customFormat="false" ht="19.4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B6" s="5" t="s">
        <v>4</v>
      </c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B7" s="4" t="s">
        <v>5</v>
      </c>
      <c r="C7" s="4"/>
      <c r="D7" s="4"/>
      <c r="E7" s="4"/>
      <c r="F7" s="4"/>
      <c r="G7" s="4"/>
      <c r="H7" s="4"/>
      <c r="I7" s="4"/>
      <c r="J7" s="4"/>
    </row>
    <row r="9" customFormat="false" ht="15" hidden="false" customHeight="false" outlineLevel="0" collapsed="false">
      <c r="B9" s="3" t="s">
        <v>6</v>
      </c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B10" s="6" t="s">
        <v>7</v>
      </c>
      <c r="C10" s="7" t="s">
        <v>8</v>
      </c>
      <c r="D10" s="6" t="s">
        <v>9</v>
      </c>
      <c r="E10" s="6" t="s">
        <v>10</v>
      </c>
      <c r="F10" s="6" t="s">
        <v>11</v>
      </c>
      <c r="G10" s="6"/>
      <c r="H10" s="8" t="s">
        <v>12</v>
      </c>
      <c r="I10" s="8"/>
      <c r="J10" s="8"/>
    </row>
    <row r="11" customFormat="false" ht="15" hidden="false" customHeight="true" outlineLevel="0" collapsed="false">
      <c r="B11" s="9" t="s">
        <v>13</v>
      </c>
      <c r="C11" s="10" t="s">
        <v>14</v>
      </c>
      <c r="D11" s="11" t="s">
        <v>15</v>
      </c>
      <c r="E11" s="12" t="s">
        <v>16</v>
      </c>
      <c r="F11" s="13" t="s">
        <v>17</v>
      </c>
      <c r="G11" s="14"/>
      <c r="H11" s="15" t="s">
        <v>18</v>
      </c>
      <c r="I11" s="15"/>
      <c r="J11" s="15"/>
    </row>
    <row r="12" customFormat="false" ht="15" hidden="false" customHeight="true" outlineLevel="0" collapsed="false">
      <c r="B12" s="10"/>
      <c r="C12" s="10" t="s">
        <v>19</v>
      </c>
      <c r="D12" s="11" t="s">
        <v>20</v>
      </c>
      <c r="E12" s="12" t="s">
        <v>21</v>
      </c>
      <c r="F12" s="13" t="s">
        <v>22</v>
      </c>
      <c r="G12" s="14"/>
      <c r="H12" s="15" t="s">
        <v>23</v>
      </c>
      <c r="I12" s="15"/>
      <c r="J12" s="15"/>
    </row>
    <row r="13" customFormat="false" ht="15" hidden="false" customHeight="true" outlineLevel="0" collapsed="false">
      <c r="B13" s="16" t="s">
        <v>24</v>
      </c>
      <c r="C13" s="17" t="s">
        <v>25</v>
      </c>
      <c r="D13" s="18" t="s">
        <v>26</v>
      </c>
      <c r="E13" s="19" t="s">
        <v>21</v>
      </c>
      <c r="F13" s="20" t="s">
        <v>27</v>
      </c>
      <c r="G13" s="21"/>
      <c r="H13" s="22" t="s">
        <v>28</v>
      </c>
      <c r="I13" s="22"/>
      <c r="J13" s="22"/>
    </row>
    <row r="14" customFormat="false" ht="15" hidden="false" customHeight="true" outlineLevel="0" collapsed="false">
      <c r="B14" s="23" t="s">
        <v>29</v>
      </c>
      <c r="C14" s="24" t="s">
        <v>30</v>
      </c>
      <c r="D14" s="25" t="s">
        <v>31</v>
      </c>
      <c r="E14" s="26" t="s">
        <v>32</v>
      </c>
      <c r="F14" s="27" t="s">
        <v>33</v>
      </c>
      <c r="G14" s="28"/>
      <c r="H14" s="29" t="s">
        <v>34</v>
      </c>
      <c r="I14" s="29"/>
      <c r="J14" s="29"/>
    </row>
    <row r="15" customFormat="false" ht="15" hidden="false" customHeight="true" outlineLevel="0" collapsed="false">
      <c r="B15" s="24"/>
      <c r="C15" s="24" t="s">
        <v>35</v>
      </c>
      <c r="D15" s="25" t="s">
        <v>36</v>
      </c>
      <c r="E15" s="26" t="s">
        <v>37</v>
      </c>
      <c r="F15" s="27" t="s">
        <v>38</v>
      </c>
      <c r="G15" s="28"/>
      <c r="H15" s="29" t="s">
        <v>39</v>
      </c>
      <c r="I15" s="29"/>
      <c r="J15" s="29"/>
    </row>
    <row r="16" customFormat="false" ht="15" hidden="false" customHeight="true" outlineLevel="0" collapsed="false">
      <c r="B16" s="30" t="s">
        <v>40</v>
      </c>
      <c r="C16" s="31" t="s">
        <v>41</v>
      </c>
      <c r="D16" s="32" t="s">
        <v>42</v>
      </c>
      <c r="E16" s="33" t="s">
        <v>43</v>
      </c>
      <c r="F16" s="34" t="s">
        <v>17</v>
      </c>
      <c r="G16" s="35"/>
      <c r="H16" s="36" t="s">
        <v>44</v>
      </c>
      <c r="I16" s="36"/>
      <c r="J16" s="36"/>
    </row>
    <row r="19" customFormat="false" ht="15" hidden="false" customHeight="false" outlineLevel="0" collapsed="false">
      <c r="B19" s="3" t="s">
        <v>45</v>
      </c>
      <c r="C19" s="3"/>
    </row>
    <row r="20" customFormat="false" ht="15" hidden="false" customHeight="false" outlineLevel="0" collapsed="false">
      <c r="B20" s="37" t="s">
        <v>46</v>
      </c>
      <c r="C20" s="38" t="n">
        <v>100000000</v>
      </c>
      <c r="D20" s="39" t="s">
        <v>47</v>
      </c>
    </row>
    <row r="22" customFormat="false" ht="19.4" hidden="false" customHeight="false" outlineLevel="0" collapsed="false"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40" t="s">
        <v>49</v>
      </c>
    </row>
    <row r="23" customFormat="false" ht="15" hidden="false" customHeight="false" outlineLevel="0" collapsed="false">
      <c r="B23" s="6" t="s">
        <v>7</v>
      </c>
      <c r="C23" s="7" t="s">
        <v>8</v>
      </c>
      <c r="D23" s="6" t="s">
        <v>50</v>
      </c>
      <c r="E23" s="6" t="s">
        <v>51</v>
      </c>
      <c r="F23" s="6" t="s">
        <v>52</v>
      </c>
      <c r="G23" s="6" t="s">
        <v>53</v>
      </c>
      <c r="H23" s="6" t="s">
        <v>54</v>
      </c>
      <c r="I23" s="6" t="s">
        <v>55</v>
      </c>
      <c r="J23" s="6" t="s">
        <v>56</v>
      </c>
    </row>
    <row r="24" customFormat="false" ht="15" hidden="false" customHeight="false" outlineLevel="0" collapsed="false">
      <c r="B24" s="41" t="s">
        <v>57</v>
      </c>
      <c r="C24" s="42" t="s">
        <v>14</v>
      </c>
      <c r="D24" s="43" t="n">
        <v>14610</v>
      </c>
      <c r="E24" s="44" t="n">
        <v>0.3</v>
      </c>
      <c r="F24" s="45" t="n">
        <f aca="false">ROUND($C$20*E24,0)</f>
        <v>30000000</v>
      </c>
      <c r="G24" s="45" t="n">
        <f aca="false">INT(F24/D24)</f>
        <v>2053</v>
      </c>
      <c r="H24" s="45" t="n">
        <f aca="false">G24*D24</f>
        <v>29994330</v>
      </c>
      <c r="I24" s="46" t="n">
        <f aca="false">ROUND(H24*K24/12,0)</f>
        <v>87483</v>
      </c>
      <c r="J24" s="46" t="n">
        <f aca="false">ROUND(H24*K24,0)</f>
        <v>1049802</v>
      </c>
      <c r="K24" s="47" t="n">
        <v>0.035</v>
      </c>
    </row>
    <row r="25" customFormat="false" ht="15" hidden="false" customHeight="false" outlineLevel="0" collapsed="false">
      <c r="B25" s="23" t="s">
        <v>57</v>
      </c>
      <c r="C25" s="24" t="s">
        <v>19</v>
      </c>
      <c r="D25" s="43" t="n">
        <v>13700</v>
      </c>
      <c r="E25" s="44" t="n">
        <v>0.15</v>
      </c>
      <c r="F25" s="48" t="n">
        <f aca="false">ROUND($C$20*E25,0)</f>
        <v>15000000</v>
      </c>
      <c r="G25" s="48" t="n">
        <f aca="false">INT(F25/D25)</f>
        <v>1094</v>
      </c>
      <c r="H25" s="48" t="n">
        <f aca="false">G25*D25</f>
        <v>14987800</v>
      </c>
      <c r="I25" s="49" t="n">
        <f aca="false">ROUND(H25*K25/12,0)</f>
        <v>56204</v>
      </c>
      <c r="J25" s="49" t="n">
        <f aca="false">ROUND(H25*K25,0)</f>
        <v>674451</v>
      </c>
      <c r="K25" s="47" t="n">
        <v>0.045</v>
      </c>
    </row>
    <row r="26" customFormat="false" ht="15" hidden="false" customHeight="false" outlineLevel="0" collapsed="false">
      <c r="B26" s="41" t="s">
        <v>58</v>
      </c>
      <c r="C26" s="42" t="s">
        <v>25</v>
      </c>
      <c r="D26" s="43" t="n">
        <v>16500</v>
      </c>
      <c r="E26" s="44" t="n">
        <v>0.15</v>
      </c>
      <c r="F26" s="45" t="n">
        <f aca="false">ROUND($C$20*E26,0)</f>
        <v>15000000</v>
      </c>
      <c r="G26" s="45" t="n">
        <f aca="false">INT(F26/D26)</f>
        <v>909</v>
      </c>
      <c r="H26" s="45" t="n">
        <f aca="false">G26*D26</f>
        <v>14998500</v>
      </c>
      <c r="I26" s="46" t="n">
        <f aca="false">ROUND(H26*K26/12,0)</f>
        <v>99990</v>
      </c>
      <c r="J26" s="46" t="n">
        <f aca="false">ROUND(H26*K26,0)</f>
        <v>1199880</v>
      </c>
      <c r="K26" s="47" t="n">
        <v>0.08</v>
      </c>
    </row>
    <row r="27" customFormat="false" ht="15" hidden="false" customHeight="false" outlineLevel="0" collapsed="false">
      <c r="B27" s="23" t="s">
        <v>59</v>
      </c>
      <c r="C27" s="24" t="s">
        <v>30</v>
      </c>
      <c r="D27" s="43" t="n">
        <v>22720</v>
      </c>
      <c r="E27" s="44" t="n">
        <v>0.12</v>
      </c>
      <c r="F27" s="48" t="n">
        <f aca="false">ROUND($C$20*E27,0)</f>
        <v>12000000</v>
      </c>
      <c r="G27" s="48" t="n">
        <f aca="false">INT(F27/D27)</f>
        <v>528</v>
      </c>
      <c r="H27" s="48" t="n">
        <f aca="false">G27*D27</f>
        <v>11996160</v>
      </c>
      <c r="I27" s="49" t="n">
        <f aca="false">ROUND(H27*K27/12,0)</f>
        <v>11996</v>
      </c>
      <c r="J27" s="49" t="n">
        <f aca="false">ROUND(H27*K27,0)</f>
        <v>143954</v>
      </c>
      <c r="K27" s="47" t="n">
        <v>0.012</v>
      </c>
    </row>
    <row r="28" customFormat="false" ht="15" hidden="false" customHeight="false" outlineLevel="0" collapsed="false">
      <c r="B28" s="41" t="s">
        <v>59</v>
      </c>
      <c r="C28" s="42" t="s">
        <v>35</v>
      </c>
      <c r="D28" s="43" t="n">
        <v>29265</v>
      </c>
      <c r="E28" s="44" t="n">
        <v>0.08</v>
      </c>
      <c r="F28" s="45" t="n">
        <f aca="false">ROUND($C$20*E28,0)</f>
        <v>8000000</v>
      </c>
      <c r="G28" s="45" t="n">
        <f aca="false">INT(F28/D28)</f>
        <v>273</v>
      </c>
      <c r="H28" s="45" t="n">
        <f aca="false">G28*D28</f>
        <v>7989345</v>
      </c>
      <c r="I28" s="46" t="n">
        <f aca="false">ROUND(H28*K28/12,0)</f>
        <v>1997</v>
      </c>
      <c r="J28" s="46" t="n">
        <f aca="false">ROUND(H28*K28,0)</f>
        <v>23968</v>
      </c>
      <c r="K28" s="47" t="n">
        <v>0.003</v>
      </c>
    </row>
    <row r="29" customFormat="false" ht="15" hidden="false" customHeight="false" outlineLevel="0" collapsed="false">
      <c r="B29" s="23" t="s">
        <v>60</v>
      </c>
      <c r="C29" s="24" t="s">
        <v>41</v>
      </c>
      <c r="D29" s="43" t="n">
        <v>11460</v>
      </c>
      <c r="E29" s="44" t="n">
        <v>0.2</v>
      </c>
      <c r="F29" s="48" t="n">
        <f aca="false">ROUND($C$20*E29,0)</f>
        <v>20000000</v>
      </c>
      <c r="G29" s="48" t="n">
        <f aca="false">INT(F29/D29)</f>
        <v>1745</v>
      </c>
      <c r="H29" s="48" t="n">
        <f aca="false">G29*D29</f>
        <v>19997700</v>
      </c>
      <c r="I29" s="49" t="n">
        <f aca="false">ROUND(H29*K29/12,0)</f>
        <v>58327</v>
      </c>
      <c r="J29" s="49" t="n">
        <f aca="false">ROUND(H29*K29,0)</f>
        <v>699920</v>
      </c>
      <c r="K29" s="47" t="n">
        <v>0.035</v>
      </c>
    </row>
    <row r="30" customFormat="false" ht="15" hidden="false" customHeight="true" outlineLevel="0" collapsed="false">
      <c r="B30" s="6" t="s">
        <v>61</v>
      </c>
      <c r="C30" s="6"/>
      <c r="D30" s="6"/>
      <c r="E30" s="50" t="n">
        <f aca="false">SUM(E24:E29)</f>
        <v>1</v>
      </c>
      <c r="F30" s="51" t="n">
        <f aca="false">SUM(F24:F29)</f>
        <v>100000000</v>
      </c>
      <c r="G30" s="52"/>
      <c r="H30" s="51" t="n">
        <f aca="false">SUM(H24:H29)</f>
        <v>99963835</v>
      </c>
      <c r="I30" s="51" t="n">
        <f aca="false">SUM(I24:I29)</f>
        <v>315997</v>
      </c>
      <c r="J30" s="51" t="n">
        <f aca="false">SUM(J24:J29)</f>
        <v>3791975</v>
      </c>
    </row>
    <row r="31" customFormat="false" ht="17.35" hidden="false" customHeight="false" outlineLevel="0" collapsed="false">
      <c r="B31" s="53" t="s">
        <v>62</v>
      </c>
      <c r="C31" s="53"/>
      <c r="D31" s="53"/>
      <c r="E31" s="53"/>
      <c r="F31" s="54" t="n">
        <f aca="false">IF(H30&gt;0,J30/H30,0)</f>
        <v>0.0379334686389333</v>
      </c>
    </row>
    <row r="34" customFormat="false" ht="15" hidden="false" customHeight="false" outlineLevel="0" collapsed="false">
      <c r="B34" s="37" t="s">
        <v>63</v>
      </c>
      <c r="C34" s="38" t="n">
        <v>200000000</v>
      </c>
      <c r="D34" s="39" t="s">
        <v>47</v>
      </c>
    </row>
    <row r="36" customFormat="false" ht="19.4" hidden="false" customHeight="false" outlineLevel="0" collapsed="false">
      <c r="B36" s="3" t="s">
        <v>64</v>
      </c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B37" s="6" t="s">
        <v>7</v>
      </c>
      <c r="C37" s="7" t="s">
        <v>8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  <c r="I37" s="6" t="s">
        <v>55</v>
      </c>
      <c r="J37" s="6" t="s">
        <v>56</v>
      </c>
    </row>
    <row r="38" customFormat="false" ht="15" hidden="false" customHeight="false" outlineLevel="0" collapsed="false">
      <c r="B38" s="41" t="s">
        <v>57</v>
      </c>
      <c r="C38" s="42" t="s">
        <v>14</v>
      </c>
      <c r="D38" s="43" t="n">
        <v>14610</v>
      </c>
      <c r="E38" s="44" t="n">
        <v>0.3</v>
      </c>
      <c r="F38" s="45" t="n">
        <f aca="false">ROUND($C$34*E38,0)</f>
        <v>60000000</v>
      </c>
      <c r="G38" s="45" t="n">
        <f aca="false">INT(F38/D38)</f>
        <v>4106</v>
      </c>
      <c r="H38" s="45" t="n">
        <f aca="false">G38*D38</f>
        <v>59988660</v>
      </c>
      <c r="I38" s="46" t="n">
        <f aca="false">ROUND(H38*K38/12,0)</f>
        <v>174967</v>
      </c>
      <c r="J38" s="46" t="n">
        <f aca="false">ROUND(H38*K38,0)</f>
        <v>2099603</v>
      </c>
      <c r="K38" s="47" t="n">
        <v>0.035</v>
      </c>
    </row>
    <row r="39" customFormat="false" ht="15" hidden="false" customHeight="false" outlineLevel="0" collapsed="false">
      <c r="B39" s="23" t="s">
        <v>57</v>
      </c>
      <c r="C39" s="24" t="s">
        <v>19</v>
      </c>
      <c r="D39" s="43" t="n">
        <v>13700</v>
      </c>
      <c r="E39" s="44" t="n">
        <v>0.15</v>
      </c>
      <c r="F39" s="48" t="n">
        <f aca="false">ROUND($C$34*E39,0)</f>
        <v>30000000</v>
      </c>
      <c r="G39" s="48" t="n">
        <f aca="false">INT(F39/D39)</f>
        <v>2189</v>
      </c>
      <c r="H39" s="48" t="n">
        <f aca="false">G39*D39</f>
        <v>29989300</v>
      </c>
      <c r="I39" s="49" t="n">
        <f aca="false">ROUND(H39*K39/12,0)</f>
        <v>112460</v>
      </c>
      <c r="J39" s="49" t="n">
        <f aca="false">ROUND(H39*K39,0)</f>
        <v>1349519</v>
      </c>
      <c r="K39" s="47" t="n">
        <v>0.045</v>
      </c>
    </row>
    <row r="40" customFormat="false" ht="15" hidden="false" customHeight="false" outlineLevel="0" collapsed="false">
      <c r="B40" s="41" t="s">
        <v>58</v>
      </c>
      <c r="C40" s="42" t="s">
        <v>25</v>
      </c>
      <c r="D40" s="43" t="n">
        <v>16500</v>
      </c>
      <c r="E40" s="44" t="n">
        <v>0.15</v>
      </c>
      <c r="F40" s="45" t="n">
        <f aca="false">ROUND($C$34*E40,0)</f>
        <v>30000000</v>
      </c>
      <c r="G40" s="45" t="n">
        <f aca="false">INT(F40/D40)</f>
        <v>1818</v>
      </c>
      <c r="H40" s="45" t="n">
        <f aca="false">G40*D40</f>
        <v>29997000</v>
      </c>
      <c r="I40" s="46" t="n">
        <f aca="false">ROUND(H40*K40/12,0)</f>
        <v>199980</v>
      </c>
      <c r="J40" s="46" t="n">
        <f aca="false">ROUND(H40*K40,0)</f>
        <v>2399760</v>
      </c>
      <c r="K40" s="47" t="n">
        <v>0.08</v>
      </c>
    </row>
    <row r="41" customFormat="false" ht="15" hidden="false" customHeight="false" outlineLevel="0" collapsed="false">
      <c r="B41" s="23" t="s">
        <v>59</v>
      </c>
      <c r="C41" s="24" t="s">
        <v>30</v>
      </c>
      <c r="D41" s="43" t="n">
        <v>22720</v>
      </c>
      <c r="E41" s="44" t="n">
        <v>0.12</v>
      </c>
      <c r="F41" s="48" t="n">
        <f aca="false">ROUND($C$34*E41,0)</f>
        <v>24000000</v>
      </c>
      <c r="G41" s="48" t="n">
        <f aca="false">INT(F41/D41)</f>
        <v>1056</v>
      </c>
      <c r="H41" s="48" t="n">
        <f aca="false">G41*D41</f>
        <v>23992320</v>
      </c>
      <c r="I41" s="49" t="n">
        <f aca="false">ROUND(H41*K41/12,0)</f>
        <v>23992</v>
      </c>
      <c r="J41" s="49" t="n">
        <f aca="false">ROUND(H41*K41,0)</f>
        <v>287908</v>
      </c>
      <c r="K41" s="47" t="n">
        <v>0.012</v>
      </c>
    </row>
    <row r="42" customFormat="false" ht="15" hidden="false" customHeight="false" outlineLevel="0" collapsed="false">
      <c r="B42" s="41" t="s">
        <v>59</v>
      </c>
      <c r="C42" s="42" t="s">
        <v>35</v>
      </c>
      <c r="D42" s="43" t="n">
        <v>29265</v>
      </c>
      <c r="E42" s="44" t="n">
        <v>0.08</v>
      </c>
      <c r="F42" s="45" t="n">
        <f aca="false">ROUND($C$34*E42,0)</f>
        <v>16000000</v>
      </c>
      <c r="G42" s="45" t="n">
        <f aca="false">INT(F42/D42)</f>
        <v>546</v>
      </c>
      <c r="H42" s="45" t="n">
        <f aca="false">G42*D42</f>
        <v>15978690</v>
      </c>
      <c r="I42" s="46" t="n">
        <f aca="false">ROUND(H42*K42/12,0)</f>
        <v>3995</v>
      </c>
      <c r="J42" s="46" t="n">
        <f aca="false">ROUND(H42*K42,0)</f>
        <v>47936</v>
      </c>
      <c r="K42" s="47" t="n">
        <v>0.003</v>
      </c>
    </row>
    <row r="43" customFormat="false" ht="15" hidden="false" customHeight="false" outlineLevel="0" collapsed="false">
      <c r="B43" s="23" t="s">
        <v>60</v>
      </c>
      <c r="C43" s="24" t="s">
        <v>41</v>
      </c>
      <c r="D43" s="43" t="n">
        <v>11460</v>
      </c>
      <c r="E43" s="44" t="n">
        <v>0.2</v>
      </c>
      <c r="F43" s="48" t="n">
        <f aca="false">ROUND($C$34*E43,0)</f>
        <v>40000000</v>
      </c>
      <c r="G43" s="48" t="n">
        <f aca="false">INT(F43/D43)</f>
        <v>3490</v>
      </c>
      <c r="H43" s="48" t="n">
        <f aca="false">G43*D43</f>
        <v>39995400</v>
      </c>
      <c r="I43" s="49" t="n">
        <f aca="false">ROUND(H43*K43/12,0)</f>
        <v>116653</v>
      </c>
      <c r="J43" s="49" t="n">
        <f aca="false">ROUND(H43*K43,0)</f>
        <v>1399839</v>
      </c>
      <c r="K43" s="47" t="n">
        <v>0.035</v>
      </c>
    </row>
    <row r="44" customFormat="false" ht="15" hidden="false" customHeight="true" outlineLevel="0" collapsed="false">
      <c r="B44" s="6" t="s">
        <v>61</v>
      </c>
      <c r="C44" s="6"/>
      <c r="D44" s="6"/>
      <c r="E44" s="50" t="n">
        <f aca="false">SUM(E38:E43)</f>
        <v>1</v>
      </c>
      <c r="F44" s="51" t="n">
        <f aca="false">SUM(F38:F43)</f>
        <v>200000000</v>
      </c>
      <c r="G44" s="52"/>
      <c r="H44" s="51" t="n">
        <f aca="false">SUM(H38:H43)</f>
        <v>199941370</v>
      </c>
      <c r="I44" s="51" t="n">
        <f aca="false">SUM(I38:I43)</f>
        <v>632047</v>
      </c>
      <c r="J44" s="51" t="n">
        <f aca="false">SUM(J38:J43)</f>
        <v>7584565</v>
      </c>
    </row>
    <row r="45" customFormat="false" ht="17.35" hidden="false" customHeight="false" outlineLevel="0" collapsed="false">
      <c r="B45" s="53" t="s">
        <v>62</v>
      </c>
      <c r="C45" s="53"/>
      <c r="D45" s="53"/>
      <c r="E45" s="53"/>
      <c r="F45" s="54" t="n">
        <f aca="false">IF(H44&gt;0,J44/H44,0)</f>
        <v>0.0379339453360753</v>
      </c>
    </row>
  </sheetData>
  <mergeCells count="21">
    <mergeCell ref="B1:J1"/>
    <mergeCell ref="B2:J2"/>
    <mergeCell ref="B4:J4"/>
    <mergeCell ref="B5:J5"/>
    <mergeCell ref="B6:J6"/>
    <mergeCell ref="B7:J7"/>
    <mergeCell ref="B9:J9"/>
    <mergeCell ref="H10:J10"/>
    <mergeCell ref="H11:J11"/>
    <mergeCell ref="H12:J12"/>
    <mergeCell ref="H13:J13"/>
    <mergeCell ref="H14:J14"/>
    <mergeCell ref="H15:J15"/>
    <mergeCell ref="H16:J16"/>
    <mergeCell ref="B19:C19"/>
    <mergeCell ref="B22:J22"/>
    <mergeCell ref="B30:C30"/>
    <mergeCell ref="B31:E31"/>
    <mergeCell ref="B36:J36"/>
    <mergeCell ref="B44:C44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55" t="s">
        <v>65</v>
      </c>
      <c r="C1" s="55"/>
      <c r="D1" s="55"/>
    </row>
    <row r="2" customFormat="false" ht="15" hidden="false" customHeight="false" outlineLevel="0" collapsed="false">
      <c r="B2" s="2" t="s">
        <v>66</v>
      </c>
      <c r="C2" s="2"/>
      <c r="D2" s="2"/>
    </row>
    <row r="4" customFormat="false" ht="15" hidden="false" customHeight="false" outlineLevel="0" collapsed="false">
      <c r="B4" s="6" t="s">
        <v>67</v>
      </c>
      <c r="C4" s="6" t="s">
        <v>68</v>
      </c>
      <c r="D4" s="6" t="s">
        <v>69</v>
      </c>
    </row>
    <row r="5" customFormat="false" ht="99.75" hidden="false" customHeight="true" outlineLevel="0" collapsed="false">
      <c r="B5" s="56" t="s">
        <v>70</v>
      </c>
      <c r="C5" s="57" t="s">
        <v>71</v>
      </c>
      <c r="D5" s="58" t="s">
        <v>72</v>
      </c>
    </row>
    <row r="6" customFormat="false" ht="99.75" hidden="false" customHeight="true" outlineLevel="0" collapsed="false">
      <c r="B6" s="59" t="s">
        <v>73</v>
      </c>
      <c r="C6" s="60" t="s">
        <v>74</v>
      </c>
      <c r="D6" s="61" t="s">
        <v>75</v>
      </c>
    </row>
    <row r="7" customFormat="false" ht="99.75" hidden="false" customHeight="true" outlineLevel="0" collapsed="false">
      <c r="B7" s="56" t="s">
        <v>76</v>
      </c>
      <c r="C7" s="57" t="s">
        <v>77</v>
      </c>
      <c r="D7" s="62" t="s">
        <v>78</v>
      </c>
    </row>
    <row r="8" customFormat="false" ht="99.75" hidden="false" customHeight="true" outlineLevel="0" collapsed="false">
      <c r="B8" s="59" t="s">
        <v>79</v>
      </c>
      <c r="C8" s="60" t="s">
        <v>80</v>
      </c>
      <c r="D8" s="61" t="s">
        <v>81</v>
      </c>
    </row>
    <row r="9" customFormat="false" ht="99.75" hidden="false" customHeight="true" outlineLevel="0" collapsed="false">
      <c r="B9" s="56" t="s">
        <v>82</v>
      </c>
      <c r="C9" s="57" t="s">
        <v>83</v>
      </c>
      <c r="D9" s="62" t="s">
        <v>84</v>
      </c>
    </row>
    <row r="10" customFormat="false" ht="99.75" hidden="false" customHeight="true" outlineLevel="0" collapsed="false">
      <c r="B10" s="59" t="s">
        <v>85</v>
      </c>
      <c r="C10" s="60" t="s">
        <v>86</v>
      </c>
      <c r="D10" s="63" t="s">
        <v>87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B1" s="55" t="s">
        <v>88</v>
      </c>
      <c r="C1" s="55"/>
    </row>
    <row r="2" customFormat="false" ht="15" hidden="false" customHeight="false" outlineLevel="0" collapsed="false">
      <c r="B2" s="64" t="s">
        <v>89</v>
      </c>
      <c r="C2" s="64"/>
    </row>
    <row r="4" customFormat="false" ht="15" hidden="false" customHeight="false" outlineLevel="0" collapsed="false">
      <c r="B4" s="6" t="s">
        <v>90</v>
      </c>
      <c r="C4" s="6" t="s">
        <v>91</v>
      </c>
    </row>
    <row r="5" customFormat="false" ht="129.75" hidden="false" customHeight="true" outlineLevel="0" collapsed="false">
      <c r="B5" s="65" t="s">
        <v>92</v>
      </c>
      <c r="C5" s="62" t="s">
        <v>93</v>
      </c>
    </row>
    <row r="6" customFormat="false" ht="129.75" hidden="false" customHeight="true" outlineLevel="0" collapsed="false">
      <c r="B6" s="66" t="s">
        <v>94</v>
      </c>
      <c r="C6" s="63" t="s">
        <v>95</v>
      </c>
    </row>
    <row r="7" customFormat="false" ht="129.75" hidden="false" customHeight="true" outlineLevel="0" collapsed="false">
      <c r="B7" s="56" t="s">
        <v>96</v>
      </c>
      <c r="C7" s="62" t="s">
        <v>97</v>
      </c>
    </row>
    <row r="8" customFormat="false" ht="129.75" hidden="false" customHeight="true" outlineLevel="0" collapsed="false">
      <c r="B8" s="66" t="s">
        <v>98</v>
      </c>
      <c r="C8" s="63" t="s">
        <v>99</v>
      </c>
    </row>
    <row r="9" customFormat="false" ht="129.75" hidden="false" customHeight="true" outlineLevel="0" collapsed="false">
      <c r="B9" s="65" t="s">
        <v>100</v>
      </c>
      <c r="C9" s="62" t="s">
        <v>101</v>
      </c>
    </row>
    <row r="10" customFormat="false" ht="129.75" hidden="false" customHeight="true" outlineLevel="0" collapsed="false">
      <c r="B10" s="66" t="s">
        <v>102</v>
      </c>
      <c r="C10" s="61" t="s">
        <v>103</v>
      </c>
    </row>
    <row r="12" customFormat="false" ht="25.35" hidden="false" customHeight="true" outlineLevel="0" collapsed="false">
      <c r="B12" s="67" t="s">
        <v>104</v>
      </c>
      <c r="C12" s="67"/>
    </row>
  </sheetData>
  <mergeCells count="3">
    <mergeCell ref="B1:C1"/>
    <mergeCell ref="B2:C2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2026-02-19T22:45:40Z</dcterms:created>
  <dc:creator>openpyxl</dc:creator>
  <dc:description/>
  <dc:language>en-US</dc:language>
  <cp:lastModifiedBy/>
  <dcterms:modified xsi:type="dcterms:W3CDTF">2026-02-19T22:45:40Z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